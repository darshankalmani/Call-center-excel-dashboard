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Users\Veeresh S G\OneDrive\Desktop\"/>
    </mc:Choice>
  </mc:AlternateContent>
  <xr:revisionPtr revIDLastSave="0" documentId="8_{1A4DBD85-4422-4B87-AA14-3759C84E9FD2}" xr6:coauthVersionLast="47" xr6:coauthVersionMax="47" xr10:uidLastSave="{00000000-0000-0000-0000-000000000000}"/>
  <bookViews>
    <workbookView xWindow="-108" yWindow="-108" windowWidth="23256" windowHeight="12456" activeTab="3" xr2:uid="{26D4546B-D2A1-4444-8EAF-A6228F96F0C1}"/>
  </bookViews>
  <sheets>
    <sheet name="pivots" sheetId="6" r:id="rId1"/>
    <sheet name="Data" sheetId="2" r:id="rId2"/>
    <sheet name="Assets" sheetId="4" r:id="rId3"/>
    <sheet name="Sheet1" sheetId="5" r:id="rId4"/>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419" r:id="rId5"/>
    <pivotCache cacheId="420" r:id="rId6"/>
    <pivotCache cacheId="421" r:id="rId7"/>
    <pivotCache cacheId="422" r:id="rId8"/>
    <pivotCache cacheId="431" r:id="rId9"/>
    <pivotCache cacheId="434" r:id="rId10"/>
    <pivotCache cacheId="437" r:id="rId11"/>
    <pivotCache cacheId="440" r:id="rId12"/>
    <pivotCache cacheId="443" r:id="rId13"/>
  </pivotCaches>
  <extLst>
    <ext xmlns:x14="http://schemas.microsoft.com/office/spreadsheetml/2009/9/main" uri="{876F7934-8845-4945-9796-88D515C7AA90}">
      <x14:pivotCaches>
        <pivotCache cacheId="428"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6" i="6" l="1"/>
  <c r="P30" i="5" s="1"/>
  <c r="H46" i="6"/>
  <c r="H48" i="6" s="1"/>
  <c r="H53" i="6" s="1"/>
  <c r="P36" i="5" s="1"/>
  <c r="H45" i="6"/>
  <c r="H47" i="6" s="1"/>
  <c r="H52" i="6" s="1"/>
  <c r="P35" i="5" s="1"/>
  <c r="H43" i="6"/>
  <c r="H51" i="6" s="1"/>
  <c r="P34" i="5" s="1"/>
  <c r="T19" i="5" a="1"/>
  <c r="S20" i="5" a="1"/>
  <c r="J30" i="6"/>
  <c r="F32" i="6" a="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5" i="2" a="1"/>
  <c r="K6" i="2" a="1"/>
  <c r="K7" i="2" a="1"/>
  <c r="K8" i="2" a="1"/>
  <c r="K9" i="2" a="1"/>
  <c r="K10" i="2" a="1"/>
  <c r="K11" i="2" a="1"/>
  <c r="K12" i="2" a="1"/>
  <c r="K13" i="2" a="1"/>
  <c r="K14" i="2" a="1"/>
  <c r="K15" i="2" a="1"/>
  <c r="K16" i="2" a="1"/>
  <c r="K17" i="2" a="1"/>
  <c r="K18" i="2" a="1"/>
  <c r="K19" i="2" a="1"/>
  <c r="K20" i="2" a="1"/>
  <c r="K21" i="2" a="1"/>
  <c r="K22" i="2" a="1"/>
  <c r="K23" i="2" a="1"/>
  <c r="K24" i="2" a="1"/>
  <c r="K25" i="2" a="1"/>
  <c r="K26" i="2" a="1"/>
  <c r="K27" i="2" a="1"/>
  <c r="K28" i="2" a="1"/>
  <c r="K29" i="2" a="1"/>
  <c r="K30" i="2" a="1"/>
  <c r="K31" i="2" a="1"/>
  <c r="K32" i="2" a="1"/>
  <c r="K33" i="2" a="1"/>
  <c r="K34" i="2" a="1"/>
  <c r="K35" i="2" a="1"/>
  <c r="K36" i="2" a="1"/>
  <c r="K37" i="2" a="1"/>
  <c r="K38" i="2" a="1"/>
  <c r="K39" i="2" a="1"/>
  <c r="K40" i="2" a="1"/>
  <c r="K41" i="2" a="1"/>
  <c r="K42" i="2" a="1"/>
  <c r="K43" i="2" a="1"/>
  <c r="K44" i="2" a="1"/>
  <c r="K45" i="2" a="1"/>
  <c r="K46" i="2" a="1"/>
  <c r="K47" i="2" a="1"/>
  <c r="K48" i="2" a="1"/>
  <c r="K49" i="2" a="1"/>
  <c r="K50" i="2" a="1"/>
  <c r="K51" i="2" a="1"/>
  <c r="K52" i="2" a="1"/>
  <c r="K53" i="2" a="1"/>
  <c r="K54" i="2" a="1"/>
  <c r="K55" i="2" a="1"/>
  <c r="K56" i="2" a="1"/>
  <c r="K57" i="2" a="1"/>
  <c r="K58" i="2" a="1"/>
  <c r="K59" i="2" a="1"/>
  <c r="K60" i="2" a="1"/>
  <c r="K61" i="2" a="1"/>
  <c r="K62" i="2" a="1"/>
  <c r="K63" i="2" a="1"/>
  <c r="K64" i="2" a="1"/>
  <c r="K65" i="2" a="1"/>
  <c r="K66" i="2" a="1"/>
  <c r="K67" i="2" a="1"/>
  <c r="K68" i="2" a="1"/>
  <c r="K69" i="2" a="1"/>
  <c r="K70" i="2" a="1"/>
  <c r="K71" i="2" a="1"/>
  <c r="K72" i="2" a="1"/>
  <c r="K73" i="2" a="1"/>
  <c r="K74" i="2" a="1"/>
  <c r="K75" i="2" a="1"/>
  <c r="K76" i="2" a="1"/>
  <c r="K77" i="2" a="1"/>
  <c r="K78" i="2" a="1"/>
  <c r="K79" i="2" a="1"/>
  <c r="K80" i="2" a="1"/>
  <c r="K81" i="2" a="1"/>
  <c r="K82" i="2" a="1"/>
  <c r="K83" i="2" a="1"/>
  <c r="K84" i="2" a="1"/>
  <c r="K85" i="2" a="1"/>
  <c r="K86" i="2" a="1"/>
  <c r="K87" i="2" a="1"/>
  <c r="K88" i="2" a="1"/>
  <c r="K89" i="2" a="1"/>
  <c r="K90" i="2" a="1"/>
  <c r="K91" i="2" a="1"/>
  <c r="K92" i="2" a="1"/>
  <c r="K93" i="2" a="1"/>
  <c r="K94" i="2" a="1"/>
  <c r="K95" i="2" a="1"/>
  <c r="K96" i="2" a="1"/>
  <c r="K97" i="2" a="1"/>
  <c r="K98" i="2" a="1"/>
  <c r="K99" i="2" a="1"/>
  <c r="K100" i="2" a="1"/>
  <c r="K101" i="2" a="1"/>
  <c r="K102" i="2" a="1"/>
  <c r="K103" i="2" a="1"/>
  <c r="K104" i="2" a="1"/>
  <c r="K105" i="2" a="1"/>
  <c r="K106" i="2" a="1"/>
  <c r="K107" i="2" a="1"/>
  <c r="K108" i="2" a="1"/>
  <c r="K109" i="2" a="1"/>
  <c r="K110" i="2" a="1"/>
  <c r="K111" i="2" a="1"/>
  <c r="K112" i="2" a="1"/>
  <c r="K113" i="2" a="1"/>
  <c r="K114" i="2" a="1"/>
  <c r="K115" i="2" a="1"/>
  <c r="K116" i="2" a="1"/>
  <c r="K117" i="2" a="1"/>
  <c r="K118" i="2" a="1"/>
  <c r="K119" i="2" a="1"/>
  <c r="K120" i="2" a="1"/>
  <c r="K121" i="2" a="1"/>
  <c r="K122" i="2" a="1"/>
  <c r="K123" i="2" a="1"/>
  <c r="K124" i="2" a="1"/>
  <c r="K125" i="2" a="1"/>
  <c r="K126" i="2" a="1"/>
  <c r="K127" i="2" a="1"/>
  <c r="K128" i="2" a="1"/>
  <c r="K129" i="2" a="1"/>
  <c r="K130" i="2" a="1"/>
  <c r="K131" i="2" a="1"/>
  <c r="K132" i="2" a="1"/>
  <c r="K133" i="2" a="1"/>
  <c r="K134" i="2" a="1"/>
  <c r="K135" i="2" a="1"/>
  <c r="K136" i="2" a="1"/>
  <c r="K137" i="2" a="1"/>
  <c r="K138" i="2" a="1"/>
  <c r="K139" i="2" a="1"/>
  <c r="K140" i="2" a="1"/>
  <c r="K141" i="2" a="1"/>
  <c r="K142" i="2" a="1"/>
  <c r="K143" i="2" a="1"/>
  <c r="K144" i="2" a="1"/>
  <c r="K145" i="2" a="1"/>
  <c r="K146" i="2" a="1"/>
  <c r="K147" i="2" a="1"/>
  <c r="K148" i="2" a="1"/>
  <c r="K149" i="2" a="1"/>
  <c r="K150" i="2" a="1"/>
  <c r="K151" i="2" a="1"/>
  <c r="K152" i="2" a="1"/>
  <c r="K153" i="2" a="1"/>
  <c r="K154" i="2" a="1"/>
  <c r="K155" i="2" a="1"/>
  <c r="K156" i="2" a="1"/>
  <c r="K157" i="2" a="1"/>
  <c r="K158" i="2" a="1"/>
  <c r="K159" i="2" a="1"/>
  <c r="K160" i="2" a="1"/>
  <c r="K161" i="2" a="1"/>
  <c r="K162" i="2" a="1"/>
  <c r="K163" i="2" a="1"/>
  <c r="K164" i="2" a="1"/>
  <c r="K165" i="2" a="1"/>
  <c r="K166" i="2" a="1"/>
  <c r="K167" i="2" a="1"/>
  <c r="K168" i="2" a="1"/>
  <c r="K169" i="2" a="1"/>
  <c r="K170" i="2" a="1"/>
  <c r="K171" i="2" a="1"/>
  <c r="K172" i="2" a="1"/>
  <c r="K173" i="2" a="1"/>
  <c r="K174" i="2" a="1"/>
  <c r="K175" i="2" a="1"/>
  <c r="K176" i="2" a="1"/>
  <c r="K177" i="2" a="1"/>
  <c r="K178" i="2" a="1"/>
  <c r="K179" i="2" a="1"/>
  <c r="K180" i="2" a="1"/>
  <c r="K181" i="2" a="1"/>
  <c r="K182" i="2" a="1"/>
  <c r="K183" i="2" a="1"/>
  <c r="K184" i="2" a="1"/>
  <c r="K185" i="2" a="1"/>
  <c r="K186" i="2" a="1"/>
  <c r="K187" i="2" a="1"/>
  <c r="K188" i="2" a="1"/>
  <c r="K189" i="2" a="1"/>
  <c r="K190" i="2" a="1"/>
  <c r="K191" i="2" a="1"/>
  <c r="K192" i="2" a="1"/>
  <c r="K193" i="2" a="1"/>
  <c r="K194" i="2" a="1"/>
  <c r="K195" i="2" a="1"/>
  <c r="K196" i="2" a="1"/>
  <c r="K197" i="2" a="1"/>
  <c r="K198" i="2" a="1"/>
  <c r="K199" i="2" a="1"/>
  <c r="K200" i="2" a="1"/>
  <c r="K201" i="2" a="1"/>
  <c r="K202" i="2" a="1"/>
  <c r="K203" i="2" a="1"/>
  <c r="K204" i="2" a="1"/>
  <c r="K205" i="2" a="1"/>
  <c r="K206" i="2" a="1"/>
  <c r="K207" i="2" a="1"/>
  <c r="K208" i="2" a="1"/>
  <c r="K209" i="2" a="1"/>
  <c r="K210" i="2" a="1"/>
  <c r="K211" i="2" a="1"/>
  <c r="K212" i="2" a="1"/>
  <c r="K213" i="2" a="1"/>
  <c r="K214" i="2" a="1"/>
  <c r="K215" i="2" a="1"/>
  <c r="K216" i="2" a="1"/>
  <c r="K217" i="2" a="1"/>
  <c r="K218" i="2" a="1"/>
  <c r="K219" i="2" a="1"/>
  <c r="K220" i="2" a="1"/>
  <c r="K221" i="2" a="1"/>
  <c r="K222" i="2" a="1"/>
  <c r="K223" i="2" a="1"/>
  <c r="K224" i="2" a="1"/>
  <c r="K225" i="2" a="1"/>
  <c r="K226" i="2" a="1"/>
  <c r="K227" i="2" a="1"/>
  <c r="K228" i="2" a="1"/>
  <c r="K229" i="2" a="1"/>
  <c r="K230" i="2" a="1"/>
  <c r="K231" i="2" a="1"/>
  <c r="K232" i="2" a="1"/>
  <c r="K233" i="2" a="1"/>
  <c r="K234" i="2" a="1"/>
  <c r="K235" i="2" a="1"/>
  <c r="K236" i="2" a="1"/>
  <c r="K237" i="2" a="1"/>
  <c r="K238" i="2" a="1"/>
  <c r="K239" i="2" a="1"/>
  <c r="K240" i="2" a="1"/>
  <c r="K241" i="2" a="1"/>
  <c r="K242" i="2" a="1"/>
  <c r="K243" i="2" a="1"/>
  <c r="K244" i="2" a="1"/>
  <c r="K245" i="2" a="1"/>
  <c r="K246" i="2" a="1"/>
  <c r="K247" i="2" a="1"/>
  <c r="K248" i="2" a="1"/>
  <c r="K249" i="2" a="1"/>
  <c r="K250" i="2" a="1"/>
  <c r="K251" i="2" a="1"/>
  <c r="K252" i="2" a="1"/>
  <c r="K253" i="2" a="1"/>
  <c r="K254" i="2" a="1"/>
  <c r="K255" i="2" a="1"/>
  <c r="K256" i="2" a="1"/>
  <c r="K257" i="2" a="1"/>
  <c r="K258" i="2" a="1"/>
  <c r="K259" i="2" a="1"/>
  <c r="K260" i="2" a="1"/>
  <c r="K261" i="2" a="1"/>
  <c r="K262" i="2" a="1"/>
  <c r="K263" i="2" a="1"/>
  <c r="K264" i="2" a="1"/>
  <c r="K265" i="2" a="1"/>
  <c r="K266" i="2" a="1"/>
  <c r="K267" i="2" a="1"/>
  <c r="K268" i="2" a="1"/>
  <c r="K269" i="2" a="1"/>
  <c r="K270" i="2" a="1"/>
  <c r="K271" i="2" a="1"/>
  <c r="K272" i="2" a="1"/>
  <c r="K273" i="2" a="1"/>
  <c r="K274" i="2" a="1"/>
  <c r="K275" i="2" a="1"/>
  <c r="K276" i="2" a="1"/>
  <c r="K277" i="2" a="1"/>
  <c r="K278" i="2" a="1"/>
  <c r="K279" i="2" a="1"/>
  <c r="K280" i="2" a="1"/>
  <c r="K281" i="2" a="1"/>
  <c r="K282" i="2" a="1"/>
  <c r="K283" i="2" a="1"/>
  <c r="K284" i="2" a="1"/>
  <c r="K285" i="2" a="1"/>
  <c r="K286" i="2" a="1"/>
  <c r="K287" i="2" a="1"/>
  <c r="K288" i="2" a="1"/>
  <c r="K289" i="2" a="1"/>
  <c r="K290" i="2" a="1"/>
  <c r="K291" i="2" a="1"/>
  <c r="K292" i="2" a="1"/>
  <c r="K293" i="2" a="1"/>
  <c r="K294" i="2" a="1"/>
  <c r="K295" i="2" a="1"/>
  <c r="K296" i="2" a="1"/>
  <c r="K297" i="2" a="1"/>
  <c r="K298" i="2" a="1"/>
  <c r="K299" i="2" a="1"/>
  <c r="K300" i="2" a="1"/>
  <c r="K301" i="2" a="1"/>
  <c r="K302" i="2" a="1"/>
  <c r="K303" i="2" a="1"/>
  <c r="K304" i="2" a="1"/>
  <c r="K305" i="2" a="1"/>
  <c r="K306" i="2" a="1"/>
  <c r="K307" i="2" a="1"/>
  <c r="K308" i="2" a="1"/>
  <c r="K309" i="2" a="1"/>
  <c r="K310" i="2" a="1"/>
  <c r="K311" i="2" a="1"/>
  <c r="K312" i="2" a="1"/>
  <c r="K313" i="2" a="1"/>
  <c r="K314" i="2" a="1"/>
  <c r="K315" i="2" a="1"/>
  <c r="K316" i="2" a="1"/>
  <c r="K317" i="2" a="1"/>
  <c r="K318" i="2" a="1"/>
  <c r="K319" i="2" a="1"/>
  <c r="K320" i="2" a="1"/>
  <c r="K321" i="2" a="1"/>
  <c r="K322" i="2" a="1"/>
  <c r="K323" i="2" a="1"/>
  <c r="K324" i="2" a="1"/>
  <c r="K325" i="2" a="1"/>
  <c r="K326" i="2" a="1"/>
  <c r="K327" i="2" a="1"/>
  <c r="K328" i="2" a="1"/>
  <c r="K329" i="2" a="1"/>
  <c r="K330" i="2" a="1"/>
  <c r="K331" i="2" a="1"/>
  <c r="K332" i="2" a="1"/>
  <c r="K333" i="2" a="1"/>
  <c r="K334" i="2" a="1"/>
  <c r="K335" i="2" a="1"/>
  <c r="K336" i="2" a="1"/>
  <c r="K337" i="2" a="1"/>
  <c r="K338" i="2" a="1"/>
  <c r="K339" i="2" a="1"/>
  <c r="K340" i="2" a="1"/>
  <c r="K341" i="2" a="1"/>
  <c r="K342" i="2" a="1"/>
  <c r="K343" i="2" a="1"/>
  <c r="K344" i="2" a="1"/>
  <c r="K345" i="2" a="1"/>
  <c r="K346" i="2" a="1"/>
  <c r="K347" i="2" a="1"/>
  <c r="K348" i="2" a="1"/>
  <c r="K349" i="2" a="1"/>
  <c r="K350" i="2" a="1"/>
  <c r="K351" i="2" a="1"/>
  <c r="K352" i="2" a="1"/>
  <c r="K353" i="2" a="1"/>
  <c r="K354" i="2" a="1"/>
  <c r="K355" i="2" a="1"/>
  <c r="K356" i="2" a="1"/>
  <c r="K357" i="2" a="1"/>
  <c r="K358" i="2" a="1"/>
  <c r="K359" i="2" a="1"/>
  <c r="K360" i="2" a="1"/>
  <c r="K361" i="2" a="1"/>
  <c r="K362" i="2" a="1"/>
  <c r="K363" i="2" a="1"/>
  <c r="K364" i="2" a="1"/>
  <c r="K365" i="2" a="1"/>
  <c r="K366" i="2" a="1"/>
  <c r="K367" i="2" a="1"/>
  <c r="K368" i="2" a="1"/>
  <c r="K369" i="2" a="1"/>
  <c r="K370" i="2" a="1"/>
  <c r="K371" i="2" a="1"/>
  <c r="K372" i="2" a="1"/>
  <c r="K373" i="2" a="1"/>
  <c r="K374" i="2" a="1"/>
  <c r="K375" i="2" a="1"/>
  <c r="K376" i="2" a="1"/>
  <c r="K377" i="2" a="1"/>
  <c r="K378" i="2" a="1"/>
  <c r="K379" i="2" a="1"/>
  <c r="K380" i="2" a="1"/>
  <c r="K381" i="2" a="1"/>
  <c r="K382" i="2" a="1"/>
  <c r="K383" i="2" a="1"/>
  <c r="K384" i="2" a="1"/>
  <c r="K385" i="2" a="1"/>
  <c r="K386" i="2" a="1"/>
  <c r="K387" i="2" a="1"/>
  <c r="K388" i="2" a="1"/>
  <c r="K389" i="2" a="1"/>
  <c r="K390" i="2" a="1"/>
  <c r="K391" i="2" a="1"/>
  <c r="K392" i="2" a="1"/>
  <c r="K393" i="2" a="1"/>
  <c r="K394" i="2" a="1"/>
  <c r="K395" i="2" a="1"/>
  <c r="K396" i="2" a="1"/>
  <c r="K397" i="2" a="1"/>
  <c r="K398" i="2" a="1"/>
  <c r="K399" i="2" a="1"/>
  <c r="K400" i="2" a="1"/>
  <c r="K401" i="2" a="1"/>
  <c r="K402" i="2" a="1"/>
  <c r="K403" i="2" a="1"/>
  <c r="K404" i="2" a="1"/>
  <c r="K405" i="2" a="1"/>
  <c r="K406" i="2" a="1"/>
  <c r="K407" i="2" a="1"/>
  <c r="K408" i="2" a="1"/>
  <c r="K409" i="2" a="1"/>
  <c r="K410" i="2" a="1"/>
  <c r="K411" i="2" a="1"/>
  <c r="K412" i="2" a="1"/>
  <c r="K413" i="2" a="1"/>
  <c r="K414" i="2" a="1"/>
  <c r="K415" i="2" a="1"/>
  <c r="K416" i="2" a="1"/>
  <c r="K417" i="2" a="1"/>
  <c r="K418" i="2" a="1"/>
  <c r="K419" i="2" a="1"/>
  <c r="K420" i="2" a="1"/>
  <c r="K421" i="2" a="1"/>
  <c r="K422" i="2" a="1"/>
  <c r="K423" i="2" a="1"/>
  <c r="K424" i="2" a="1"/>
  <c r="K425" i="2" a="1"/>
  <c r="K426" i="2" a="1"/>
  <c r="K427" i="2" a="1"/>
  <c r="K428" i="2" a="1"/>
  <c r="K429" i="2" a="1"/>
  <c r="K430" i="2" a="1"/>
  <c r="K431" i="2" a="1"/>
  <c r="K432" i="2" a="1"/>
  <c r="K433" i="2" a="1"/>
  <c r="K434" i="2" a="1"/>
  <c r="K435" i="2" a="1"/>
  <c r="K436" i="2" a="1"/>
  <c r="K437" i="2" a="1"/>
  <c r="K438" i="2" a="1"/>
  <c r="K439" i="2" a="1"/>
  <c r="K440" i="2" a="1"/>
  <c r="K441" i="2" a="1"/>
  <c r="K442" i="2" a="1"/>
  <c r="K443" i="2" a="1"/>
  <c r="K444" i="2" a="1"/>
  <c r="K445" i="2" a="1"/>
  <c r="K446" i="2" a="1"/>
  <c r="K447" i="2" a="1"/>
  <c r="K448" i="2" a="1"/>
  <c r="K449" i="2" a="1"/>
  <c r="K450" i="2" a="1"/>
  <c r="K451" i="2" a="1"/>
  <c r="K452" i="2" a="1"/>
  <c r="K453" i="2" a="1"/>
  <c r="K454" i="2" a="1"/>
  <c r="K455" i="2" a="1"/>
  <c r="K456" i="2" a="1"/>
  <c r="K457" i="2" a="1"/>
  <c r="K458" i="2" a="1"/>
  <c r="K459" i="2" a="1"/>
  <c r="K460" i="2" a="1"/>
  <c r="K461" i="2" a="1"/>
  <c r="K462" i="2" a="1"/>
  <c r="K463" i="2" a="1"/>
  <c r="K464" i="2" a="1"/>
  <c r="K465" i="2" a="1"/>
  <c r="K466" i="2" a="1"/>
  <c r="K467" i="2" a="1"/>
  <c r="K468" i="2" a="1"/>
  <c r="K469" i="2" a="1"/>
  <c r="K470" i="2" a="1"/>
  <c r="K471" i="2" a="1"/>
  <c r="K472" i="2" a="1"/>
  <c r="K473" i="2" a="1"/>
  <c r="K474" i="2" a="1"/>
  <c r="K475" i="2" a="1"/>
  <c r="K476" i="2" a="1"/>
  <c r="K477" i="2" a="1"/>
  <c r="K478" i="2" a="1"/>
  <c r="K479" i="2" a="1"/>
  <c r="K480" i="2" a="1"/>
  <c r="K481" i="2" a="1"/>
  <c r="K482" i="2" a="1"/>
  <c r="K483" i="2" a="1"/>
  <c r="K484" i="2" a="1"/>
  <c r="K485" i="2" a="1"/>
  <c r="K486" i="2" a="1"/>
  <c r="K487" i="2" a="1"/>
  <c r="K488" i="2" a="1"/>
  <c r="K489" i="2" a="1"/>
  <c r="K490" i="2" a="1"/>
  <c r="K491" i="2" a="1"/>
  <c r="K492" i="2" a="1"/>
  <c r="K493" i="2" a="1"/>
  <c r="K494" i="2" a="1"/>
  <c r="K495" i="2" a="1"/>
  <c r="K496" i="2" a="1"/>
  <c r="K497" i="2" a="1"/>
  <c r="K498" i="2" a="1"/>
  <c r="K499" i="2" a="1"/>
  <c r="K500" i="2" a="1"/>
  <c r="K501" i="2" a="1"/>
  <c r="K502" i="2" a="1"/>
  <c r="K503" i="2" a="1"/>
  <c r="K504" i="2" a="1"/>
  <c r="K505" i="2" a="1"/>
  <c r="K506" i="2" a="1"/>
  <c r="K507" i="2" a="1"/>
  <c r="K508" i="2" a="1"/>
  <c r="K509" i="2" a="1"/>
  <c r="K510" i="2" a="1"/>
  <c r="K511" i="2" a="1"/>
  <c r="K512" i="2" a="1"/>
  <c r="K513" i="2" a="1"/>
  <c r="K514" i="2" a="1"/>
  <c r="K515" i="2" a="1"/>
  <c r="K516" i="2" a="1"/>
  <c r="K517" i="2" a="1"/>
  <c r="K518" i="2" a="1"/>
  <c r="K519" i="2" a="1"/>
  <c r="K520" i="2" a="1"/>
  <c r="K521" i="2" a="1"/>
  <c r="K522" i="2" a="1"/>
  <c r="K523" i="2" a="1"/>
  <c r="K524" i="2" a="1"/>
  <c r="K525" i="2" a="1"/>
  <c r="K526" i="2" a="1"/>
  <c r="K527" i="2" a="1"/>
  <c r="K528" i="2" a="1"/>
  <c r="K529" i="2" a="1"/>
  <c r="K530" i="2" a="1"/>
  <c r="K531" i="2" a="1"/>
  <c r="K532" i="2" a="1"/>
  <c r="K533" i="2" a="1"/>
  <c r="K534" i="2" a="1"/>
  <c r="K535" i="2" a="1"/>
  <c r="K536" i="2" a="1"/>
  <c r="K537" i="2" a="1"/>
  <c r="K538" i="2" a="1"/>
  <c r="K539" i="2" a="1"/>
  <c r="K540" i="2" a="1"/>
  <c r="K541" i="2" a="1"/>
  <c r="K542" i="2" a="1"/>
  <c r="K543" i="2" a="1"/>
  <c r="K544" i="2" a="1"/>
  <c r="K545" i="2" a="1"/>
  <c r="K546" i="2" a="1"/>
  <c r="K547" i="2" a="1"/>
  <c r="K548" i="2" a="1"/>
  <c r="K549" i="2" a="1"/>
  <c r="K550" i="2" a="1"/>
  <c r="K551" i="2" a="1"/>
  <c r="K552" i="2" a="1"/>
  <c r="K553" i="2" a="1"/>
  <c r="K554" i="2" a="1"/>
  <c r="K555" i="2" a="1"/>
  <c r="K556" i="2" a="1"/>
  <c r="K557" i="2" a="1"/>
  <c r="K558" i="2" a="1"/>
  <c r="K559" i="2" a="1"/>
  <c r="K560" i="2" a="1"/>
  <c r="K561" i="2" a="1"/>
  <c r="K562" i="2" a="1"/>
  <c r="K563" i="2" a="1"/>
  <c r="K564" i="2" a="1"/>
  <c r="K565" i="2" a="1"/>
  <c r="K566" i="2" a="1"/>
  <c r="K567" i="2" a="1"/>
  <c r="K568" i="2" a="1"/>
  <c r="K569" i="2" a="1"/>
  <c r="K570" i="2" a="1"/>
  <c r="K571" i="2" a="1"/>
  <c r="K572" i="2" a="1"/>
  <c r="K573" i="2" a="1"/>
  <c r="K574" i="2" a="1"/>
  <c r="K575" i="2" a="1"/>
  <c r="K576" i="2" a="1"/>
  <c r="K577" i="2" a="1"/>
  <c r="K578" i="2" a="1"/>
  <c r="K579" i="2" a="1"/>
  <c r="K580" i="2" a="1"/>
  <c r="K581" i="2" a="1"/>
  <c r="K582" i="2" a="1"/>
  <c r="K583" i="2" a="1"/>
  <c r="K584" i="2" a="1"/>
  <c r="K585" i="2" a="1"/>
  <c r="K586" i="2" a="1"/>
  <c r="K587" i="2" a="1"/>
  <c r="K588" i="2" a="1"/>
  <c r="K589" i="2" a="1"/>
  <c r="K590" i="2" a="1"/>
  <c r="K591" i="2" a="1"/>
  <c r="K592" i="2" a="1"/>
  <c r="K593" i="2" a="1"/>
  <c r="K594" i="2" a="1"/>
  <c r="K595" i="2" a="1"/>
  <c r="K596" i="2" a="1"/>
  <c r="K597" i="2" a="1"/>
  <c r="K598" i="2" a="1"/>
  <c r="K599" i="2" a="1"/>
  <c r="K600" i="2" a="1"/>
  <c r="K601" i="2" a="1"/>
  <c r="K602" i="2" a="1"/>
  <c r="K603" i="2" a="1"/>
  <c r="K604" i="2" a="1"/>
  <c r="K605" i="2" a="1"/>
  <c r="K606" i="2" a="1"/>
  <c r="K607" i="2" a="1"/>
  <c r="K608" i="2" a="1"/>
  <c r="K609" i="2" a="1"/>
  <c r="K610" i="2" a="1"/>
  <c r="K611" i="2" a="1"/>
  <c r="K612" i="2" a="1"/>
  <c r="K613" i="2" a="1"/>
  <c r="K614" i="2" a="1"/>
  <c r="K615" i="2" a="1"/>
  <c r="K616" i="2" a="1"/>
  <c r="K617" i="2" a="1"/>
  <c r="K618" i="2" a="1"/>
  <c r="K619" i="2" a="1"/>
  <c r="K620" i="2" a="1"/>
  <c r="K621" i="2" a="1"/>
  <c r="K622" i="2" a="1"/>
  <c r="K623" i="2" a="1"/>
  <c r="K624" i="2" a="1"/>
  <c r="K625" i="2" a="1"/>
  <c r="K626" i="2" a="1"/>
  <c r="K627" i="2" a="1"/>
  <c r="K628" i="2" a="1"/>
  <c r="K629" i="2" a="1"/>
  <c r="K630" i="2" a="1"/>
  <c r="K631" i="2" a="1"/>
  <c r="K632" i="2" a="1"/>
  <c r="K633" i="2" a="1"/>
  <c r="K634" i="2" a="1"/>
  <c r="K635" i="2" a="1"/>
  <c r="K636" i="2" a="1"/>
  <c r="K637" i="2" a="1"/>
  <c r="K638" i="2" a="1"/>
  <c r="K639" i="2" a="1"/>
  <c r="K640" i="2" a="1"/>
  <c r="K641" i="2" a="1"/>
  <c r="K642" i="2" a="1"/>
  <c r="K643" i="2" a="1"/>
  <c r="K644" i="2" a="1"/>
  <c r="K645" i="2" a="1"/>
  <c r="K646" i="2" a="1"/>
  <c r="K647" i="2" a="1"/>
  <c r="K648" i="2" a="1"/>
  <c r="K649" i="2" a="1"/>
  <c r="K650" i="2" a="1"/>
  <c r="K651" i="2" a="1"/>
  <c r="K652" i="2" a="1"/>
  <c r="K653" i="2" a="1"/>
  <c r="K654" i="2" a="1"/>
  <c r="K655" i="2" a="1"/>
  <c r="K656" i="2" a="1"/>
  <c r="K657" i="2" a="1"/>
  <c r="K658" i="2" a="1"/>
  <c r="K659" i="2" a="1"/>
  <c r="K660" i="2" a="1"/>
  <c r="K661" i="2" a="1"/>
  <c r="K662" i="2" a="1"/>
  <c r="K663" i="2" a="1"/>
  <c r="K664" i="2" a="1"/>
  <c r="K665" i="2" a="1"/>
  <c r="K666" i="2" a="1"/>
  <c r="K667" i="2" a="1"/>
  <c r="K668" i="2" a="1"/>
  <c r="K669" i="2" a="1"/>
  <c r="K670" i="2" a="1"/>
  <c r="K671" i="2" a="1"/>
  <c r="K672" i="2" a="1"/>
  <c r="K673" i="2" a="1"/>
  <c r="K674" i="2" a="1"/>
  <c r="K675" i="2" a="1"/>
  <c r="K676" i="2" a="1"/>
  <c r="K677" i="2" a="1"/>
  <c r="K678" i="2" a="1"/>
  <c r="K679" i="2" a="1"/>
  <c r="K680" i="2" a="1"/>
  <c r="K681" i="2" a="1"/>
  <c r="K682" i="2" a="1"/>
  <c r="K683" i="2" a="1"/>
  <c r="K684" i="2" a="1"/>
  <c r="K685" i="2" a="1"/>
  <c r="K686" i="2" a="1"/>
  <c r="K687" i="2" a="1"/>
  <c r="K688" i="2" a="1"/>
  <c r="K689" i="2" a="1"/>
  <c r="K690" i="2" a="1"/>
  <c r="K691" i="2" a="1"/>
  <c r="K692" i="2" a="1"/>
  <c r="K693" i="2" a="1"/>
  <c r="K694" i="2" a="1"/>
  <c r="K695" i="2" a="1"/>
  <c r="K696" i="2" a="1"/>
  <c r="K697" i="2" a="1"/>
  <c r="K698" i="2" a="1"/>
  <c r="K699" i="2" a="1"/>
  <c r="K700" i="2" a="1"/>
  <c r="K701" i="2" a="1"/>
  <c r="K702" i="2" a="1"/>
  <c r="K703" i="2" a="1"/>
  <c r="K704" i="2" a="1"/>
  <c r="K705" i="2" a="1"/>
  <c r="K706" i="2" a="1"/>
  <c r="K707" i="2" a="1"/>
  <c r="K708" i="2" a="1"/>
  <c r="K709" i="2" a="1"/>
  <c r="K710" i="2" a="1"/>
  <c r="K711" i="2" a="1"/>
  <c r="K712" i="2" a="1"/>
  <c r="K713" i="2" a="1"/>
  <c r="K714" i="2" a="1"/>
  <c r="K715" i="2" a="1"/>
  <c r="K716" i="2" a="1"/>
  <c r="K717" i="2" a="1"/>
  <c r="K718" i="2" a="1"/>
  <c r="K719" i="2" a="1"/>
  <c r="K720" i="2" a="1"/>
  <c r="K721" i="2" a="1"/>
  <c r="K722" i="2" a="1"/>
  <c r="K723" i="2" a="1"/>
  <c r="K724" i="2" a="1"/>
  <c r="K725" i="2" a="1"/>
  <c r="K726" i="2" a="1"/>
  <c r="K727" i="2" a="1"/>
  <c r="K728" i="2" a="1"/>
  <c r="K729" i="2" a="1"/>
  <c r="K730" i="2" a="1"/>
  <c r="K731" i="2" a="1"/>
  <c r="K732" i="2" a="1"/>
  <c r="K733" i="2" a="1"/>
  <c r="K734" i="2" a="1"/>
  <c r="K735" i="2" a="1"/>
  <c r="K736" i="2" a="1"/>
  <c r="K737" i="2" a="1"/>
  <c r="K738" i="2" a="1"/>
  <c r="K739" i="2" a="1"/>
  <c r="K740" i="2" a="1"/>
  <c r="K741" i="2" a="1"/>
  <c r="K742" i="2" a="1"/>
  <c r="K743" i="2" a="1"/>
  <c r="K744" i="2" a="1"/>
  <c r="K745" i="2" a="1"/>
  <c r="K746" i="2" a="1"/>
  <c r="K747" i="2" a="1"/>
  <c r="K748" i="2" a="1"/>
  <c r="K749" i="2" a="1"/>
  <c r="K750" i="2" a="1"/>
  <c r="K751" i="2" a="1"/>
  <c r="K752" i="2" a="1"/>
  <c r="K753" i="2" a="1"/>
  <c r="K754" i="2" a="1"/>
  <c r="K755" i="2" a="1"/>
  <c r="K756" i="2" a="1"/>
  <c r="K757" i="2" a="1"/>
  <c r="K758" i="2" a="1"/>
  <c r="K759" i="2" a="1"/>
  <c r="K760" i="2" a="1"/>
  <c r="K761" i="2" a="1"/>
  <c r="K762" i="2" a="1"/>
  <c r="K763" i="2" a="1"/>
  <c r="K764" i="2" a="1"/>
  <c r="K765" i="2" a="1"/>
  <c r="K766" i="2" a="1"/>
  <c r="K767" i="2" a="1"/>
  <c r="K768" i="2" a="1"/>
  <c r="K769" i="2" a="1"/>
  <c r="K770" i="2" a="1"/>
  <c r="K771" i="2" a="1"/>
  <c r="K772" i="2" a="1"/>
  <c r="K773" i="2" a="1"/>
  <c r="K774" i="2" a="1"/>
  <c r="K775" i="2" a="1"/>
  <c r="K776" i="2" a="1"/>
  <c r="K777" i="2" a="1"/>
  <c r="K778" i="2" a="1"/>
  <c r="K779" i="2" a="1"/>
  <c r="K780" i="2" a="1"/>
  <c r="K781" i="2" a="1"/>
  <c r="K782" i="2" a="1"/>
  <c r="K783" i="2" a="1"/>
  <c r="K784" i="2" a="1"/>
  <c r="K785" i="2" a="1"/>
  <c r="K786" i="2" a="1"/>
  <c r="K787" i="2" a="1"/>
  <c r="K788" i="2" a="1"/>
  <c r="K789" i="2" a="1"/>
  <c r="K790" i="2" a="1"/>
  <c r="K791" i="2" a="1"/>
  <c r="K792" i="2" a="1"/>
  <c r="K793" i="2" a="1"/>
  <c r="K794" i="2" a="1"/>
  <c r="K795" i="2" a="1"/>
  <c r="K796" i="2" a="1"/>
  <c r="K797" i="2" a="1"/>
  <c r="K798" i="2" a="1"/>
  <c r="K799" i="2" a="1"/>
  <c r="K800" i="2" a="1"/>
  <c r="K801" i="2" a="1"/>
  <c r="K802" i="2" a="1"/>
  <c r="K803" i="2" a="1"/>
  <c r="K804" i="2" a="1"/>
  <c r="K805" i="2" a="1"/>
  <c r="K806" i="2" a="1"/>
  <c r="K807" i="2" a="1"/>
  <c r="K808" i="2" a="1"/>
  <c r="K809" i="2" a="1"/>
  <c r="K810" i="2" a="1"/>
  <c r="K811" i="2" a="1"/>
  <c r="K812" i="2" a="1"/>
  <c r="K813" i="2" a="1"/>
  <c r="K814" i="2" a="1"/>
  <c r="K815" i="2" a="1"/>
  <c r="K816" i="2" a="1"/>
  <c r="K817" i="2" a="1"/>
  <c r="K818" i="2" a="1"/>
  <c r="K819" i="2" a="1"/>
  <c r="K820" i="2" a="1"/>
  <c r="K821" i="2" a="1"/>
  <c r="K822" i="2" a="1"/>
  <c r="K823" i="2" a="1"/>
  <c r="K824" i="2" a="1"/>
  <c r="K825" i="2" a="1"/>
  <c r="K826" i="2" a="1"/>
  <c r="K827" i="2" a="1"/>
  <c r="K828" i="2" a="1"/>
  <c r="K829" i="2" a="1"/>
  <c r="K830" i="2" a="1"/>
  <c r="K831" i="2" a="1"/>
  <c r="K832" i="2" a="1"/>
  <c r="K833" i="2" a="1"/>
  <c r="K834" i="2" a="1"/>
  <c r="K835" i="2" a="1"/>
  <c r="K836" i="2" a="1"/>
  <c r="K837" i="2" a="1"/>
  <c r="K838" i="2" a="1"/>
  <c r="K839" i="2" a="1"/>
  <c r="K840" i="2" a="1"/>
  <c r="K841" i="2" a="1"/>
  <c r="K842" i="2" a="1"/>
  <c r="K843" i="2" a="1"/>
  <c r="K844" i="2" a="1"/>
  <c r="K845" i="2" a="1"/>
  <c r="K846" i="2" a="1"/>
  <c r="K847" i="2" a="1"/>
  <c r="K848" i="2" a="1"/>
  <c r="K849" i="2" a="1"/>
  <c r="K850" i="2" a="1"/>
  <c r="K851" i="2" a="1"/>
  <c r="K852" i="2" a="1"/>
  <c r="K853" i="2" a="1"/>
  <c r="K854" i="2" a="1"/>
  <c r="K855" i="2" a="1"/>
  <c r="K856" i="2" a="1"/>
  <c r="K857" i="2" a="1"/>
  <c r="K858" i="2" a="1"/>
  <c r="K859" i="2" a="1"/>
  <c r="K860" i="2" a="1"/>
  <c r="K861" i="2" a="1"/>
  <c r="K862" i="2" a="1"/>
  <c r="K863" i="2" a="1"/>
  <c r="K864" i="2" a="1"/>
  <c r="K865" i="2" a="1"/>
  <c r="K866" i="2" a="1"/>
  <c r="K867" i="2" a="1"/>
  <c r="K868" i="2" a="1"/>
  <c r="K869" i="2" a="1"/>
  <c r="K870" i="2" a="1"/>
  <c r="K871" i="2" a="1"/>
  <c r="K872" i="2" a="1"/>
  <c r="K873" i="2" a="1"/>
  <c r="K874" i="2" a="1"/>
  <c r="K875" i="2" a="1"/>
  <c r="K876" i="2" a="1"/>
  <c r="K877" i="2" a="1"/>
  <c r="K878" i="2" a="1"/>
  <c r="K879" i="2" a="1"/>
  <c r="K880" i="2" a="1"/>
  <c r="K881" i="2" a="1"/>
  <c r="K882" i="2" a="1"/>
  <c r="K883" i="2" a="1"/>
  <c r="K884" i="2" a="1"/>
  <c r="K885" i="2" a="1"/>
  <c r="K886" i="2" a="1"/>
  <c r="K887" i="2" a="1"/>
  <c r="K888" i="2" a="1"/>
  <c r="K889" i="2" a="1"/>
  <c r="K890" i="2" a="1"/>
  <c r="K891" i="2" a="1"/>
  <c r="K892" i="2" a="1"/>
  <c r="K893" i="2" a="1"/>
  <c r="K894" i="2" a="1"/>
  <c r="K895" i="2" a="1"/>
  <c r="K896" i="2" a="1"/>
  <c r="K897" i="2" a="1"/>
  <c r="K898" i="2" a="1"/>
  <c r="K899" i="2" a="1"/>
  <c r="K900" i="2" a="1"/>
  <c r="K901" i="2" a="1"/>
  <c r="K902" i="2" a="1"/>
  <c r="K903" i="2" a="1"/>
  <c r="K904" i="2" a="1"/>
  <c r="K905" i="2" a="1"/>
  <c r="K906" i="2" a="1"/>
  <c r="K907" i="2" a="1"/>
  <c r="K908" i="2" a="1"/>
  <c r="K909" i="2" a="1"/>
  <c r="K910" i="2" a="1"/>
  <c r="K911" i="2" a="1"/>
  <c r="K912" i="2" a="1"/>
  <c r="K913" i="2" a="1"/>
  <c r="K914" i="2" a="1"/>
  <c r="K915" i="2" a="1"/>
  <c r="K916" i="2" a="1"/>
  <c r="K917" i="2" a="1"/>
  <c r="K918" i="2" a="1"/>
  <c r="K919" i="2" a="1"/>
  <c r="K920" i="2" a="1"/>
  <c r="K921" i="2" a="1"/>
  <c r="K922" i="2" a="1"/>
  <c r="K923" i="2" a="1"/>
  <c r="K924" i="2" a="1"/>
  <c r="K925" i="2" a="1"/>
  <c r="K926" i="2" a="1"/>
  <c r="K927" i="2" a="1"/>
  <c r="K928" i="2" a="1"/>
  <c r="K929" i="2" a="1"/>
  <c r="K930" i="2" a="1"/>
  <c r="K931" i="2" a="1"/>
  <c r="K932" i="2" a="1"/>
  <c r="K933" i="2" a="1"/>
  <c r="K934" i="2" a="1"/>
  <c r="K935" i="2" a="1"/>
  <c r="K936" i="2" a="1"/>
  <c r="K937" i="2" a="1"/>
  <c r="K938" i="2" a="1"/>
  <c r="K939" i="2" a="1"/>
  <c r="K940" i="2" a="1"/>
  <c r="K941" i="2" a="1"/>
  <c r="K942" i="2" a="1"/>
  <c r="K943" i="2" a="1"/>
  <c r="K944" i="2" a="1"/>
  <c r="K945" i="2" a="1"/>
  <c r="K946" i="2" a="1"/>
  <c r="K947" i="2" a="1"/>
  <c r="K948" i="2" a="1"/>
  <c r="K949" i="2" a="1"/>
  <c r="K950" i="2" a="1"/>
  <c r="K951" i="2" a="1"/>
  <c r="K952" i="2" a="1"/>
  <c r="K953" i="2" a="1"/>
  <c r="K954" i="2" a="1"/>
  <c r="K955" i="2" a="1"/>
  <c r="K956" i="2" a="1"/>
  <c r="K957" i="2" a="1"/>
  <c r="K958" i="2" a="1"/>
  <c r="K959" i="2" a="1"/>
  <c r="K960" i="2" a="1"/>
  <c r="K961" i="2" a="1"/>
  <c r="K962" i="2" a="1"/>
  <c r="K963" i="2" a="1"/>
  <c r="K964" i="2" a="1"/>
  <c r="K965" i="2" a="1"/>
  <c r="K966" i="2" a="1"/>
  <c r="K967" i="2" a="1"/>
  <c r="K968" i="2" a="1"/>
  <c r="K969" i="2" a="1"/>
  <c r="K970" i="2" a="1"/>
  <c r="K971" i="2" a="1"/>
  <c r="K972" i="2" a="1"/>
  <c r="K973" i="2" a="1"/>
  <c r="K974" i="2" a="1"/>
  <c r="K975" i="2" a="1"/>
  <c r="K976" i="2" a="1"/>
  <c r="K977" i="2" a="1"/>
  <c r="K978" i="2" a="1"/>
  <c r="K979" i="2" a="1"/>
  <c r="K980" i="2" a="1"/>
  <c r="K981" i="2" a="1"/>
  <c r="K982" i="2" a="1"/>
  <c r="K983" i="2" a="1"/>
  <c r="K984" i="2" a="1"/>
  <c r="K985" i="2" a="1"/>
  <c r="K986" i="2" a="1"/>
  <c r="K987" i="2" a="1"/>
  <c r="K988" i="2" a="1"/>
  <c r="K989" i="2" a="1"/>
  <c r="K990" i="2" a="1"/>
  <c r="K991" i="2" a="1"/>
  <c r="K992" i="2" a="1"/>
  <c r="K993" i="2" a="1"/>
  <c r="K994" i="2" a="1"/>
  <c r="K995" i="2" a="1"/>
  <c r="K996" i="2" a="1"/>
  <c r="K997" i="2" a="1"/>
  <c r="K998" i="2" a="1"/>
  <c r="K999" i="2" a="1"/>
  <c r="K1000" i="2" a="1"/>
  <c r="K1001" i="2" a="1"/>
  <c r="K1002" i="2" a="1"/>
  <c r="K1003" i="2" a="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33" i="6" l="1"/>
  <c r="J34" i="6"/>
  <c r="J35" i="6"/>
  <c r="J36" i="6"/>
  <c r="J32" i="6"/>
  <c r="I33" i="6"/>
  <c r="I34" i="6"/>
  <c r="I35" i="6"/>
  <c r="I36" i="6"/>
  <c r="I3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0313B9-C0C1-4C03-A2BE-EB0FFF32A11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34ED04C-AC80-4FFC-A1D7-506193571667}"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0F7C9068-A58C-46A6-9D6C-12A168E272F8}"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<sst xmlns="http://schemas.openxmlformats.org/spreadsheetml/2006/main" count="3172" uniqueCount="1086">
  <si>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</si>
  <si>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</si>
  <si>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</si>
  <si>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</si>
  <si>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</si>
  <si>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</si>
  <si>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</si>
  <si>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</si>
  <si>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</si>
  <si>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</si>
  <si>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</si>
  <si>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</si>
  <si>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</si>
  <si>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</si>
  <si>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</si>
  <si>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</si>
  <si>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</si>
  <si>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</si>
  <si>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</si>
  <si>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</si>
  <si>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</si>
  <si>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</si>
  <si>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</si>
  <si>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</si>
  <si>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</si>
  <si>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</si>
  <si>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</si>
  <si>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</si>
  <si>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</si>
  <si>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</si>
  <si>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</si>
  <si>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</si>
  <si>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</si>
  <si>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</si>
  <si>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</si>
  <si>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</si>
  <si>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</si>
  <si>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</si>
  <si>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</si>
  <si>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</si>
  <si>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</si>
  <si>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</si>
  <si>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</si>
  <si>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</si>
  <si>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</si>
  <si>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</si>
  <si>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</si>
  <si>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</si>
  <si>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</si>
  <si>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</si>
  <si>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</si>
  <si>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</si>
  <si>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</si>
  <si>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</si>
  <si>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</si>
  <si>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</si>
  <si>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</si>
  <si>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</si>
  <si>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</si>
  <si>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</si>
  <si>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</si>
  <si>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</si>
  <si>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</si>
  <si>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</si>
  <si>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</si>
  <si>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</si>
  <si>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</si>
  <si>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</si>
  <si>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</si>
  <si>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</si>
  <si>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</si>
  <si>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</si>
  <si>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</si>
  <si>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</si>
  <si>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</si>
  <si>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</si>
  <si>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</si>
  <si>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</si>
  <si>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</si>
  <si>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</si>
  <si>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</si>
  <si>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</si>
  <si>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</si>
  <si>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</si>
  <si>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</si>
  <si>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</si>
  <si>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</si>
  <si>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</si>
  <si>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</si>
  <si>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</si>
  <si>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</si>
  <si>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</si>
  <si>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</si>
  <si>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</si>
  <si>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</si>
  <si>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</si>
  <si>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</si>
  <si>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</si>
  <si>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</si>
  <si>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</si>
  <si>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</si>
  <si>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</si>
  <si>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</si>
  <si>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</si>
  <si>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</si>
  <si>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</si>
  <si>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</si>
  <si>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</si>
  <si>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</si>
  <si>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</si>
  <si>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</si>
  <si>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</si>
  <si>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</si>
  <si>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</si>
  <si>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</si>
  <si>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</si>
  <si>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</si>
  <si>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</si>
  <si>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</si>
  <si>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</si>
  <si>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</si>
  <si>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</si>
  <si>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</si>
  <si>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</si>
  <si>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</si>
  <si>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</si>
  <si>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</si>
  <si>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</si>
  <si>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</si>
  <si>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</si>
  <si>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</si>
  <si>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</si>
  <si>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</si>
  <si>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</si>
  <si>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</si>
  <si>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</si>
  <si>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</si>
  <si>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</si>
  <si>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</si>
  <si>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</si>
  <si>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</si>
  <si>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</si>
  <si>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</si>
  <si>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</si>
  <si>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</si>
  <si>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</si>
  <si>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</si>
  <si>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</si>
  <si>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</si>
  <si>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</si>
  <si>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</si>
  <si>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</si>
  <si>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</si>
  <si>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</si>
  <si>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</si>
  <si>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</si>
  <si>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</si>
  <si>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</si>
  <si>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</si>
  <si>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</si>
  <si>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</si>
  <si>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</si>
  <si>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</si>
  <si>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</si>
  <si>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</si>
  <si>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</si>
  <si>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</si>
  <si>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</si>
  <si>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</si>
  <si>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</si>
  <si>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</si>
  <si>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</si>
  <si>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</si>
  <si>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</si>
  <si>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</si>
  <si>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</si>
  <si>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</si>
  <si>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</si>
  <si>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</si>
  <si>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</si>
  <si>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</si>
  <si>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</si>
  <si>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</si>
  <si>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</si>
  <si>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</si>
  <si>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</si>
  <si>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</si>
  <si>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</si>
  <si>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</si>
  <si>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</si>
  <si>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</si>
  <si>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</si>
  <si>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</si>
  <si>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</si>
  <si>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</si>
  <si>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</si>
  <si>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</si>
  <si>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</si>
  <si>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</si>
  <si>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</si>
  <si>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</si>
  <si>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</si>
  <si>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</si>
  <si>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</si>
  <si>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</si>
  <si>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</si>
  <si>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</si>
  <si>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</si>
  <si>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</si>
  <si>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</si>
  <si>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</si>
  <si>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</si>
  <si>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</si>
  <si>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</si>
  <si>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</si>
  <si>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</si>
  <si>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</si>
  <si>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</si>
  <si>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</si>
  <si>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</si>
  <si>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</si>
  <si>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</si>
  <si>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</si>
  <si>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</si>
  <si>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</si>
  <si>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</si>
  <si>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</si>
  <si>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</si>
  <si>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</si>
  <si>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</si>
  <si>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</si>
  <si>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</si>
  <si>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</si>
  <si>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</si>
  <si>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</si>
  <si>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</si>
  <si>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</si>
  <si>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</si>
  <si>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</si>
  <si>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</si>
  <si>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</si>
  <si>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</si>
  <si>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</si>
  <si>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</si>
  <si>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</si>
  <si>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</si>
  <si>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</si>
  <si>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</si>
  <si>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</si>
  <si>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</si>
  <si>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</si>
  <si>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</si>
  <si>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</si>
  <si>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</si>
  <si>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</si>
  <si>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</si>
  <si>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</si>
  <si>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</si>
  <si>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</si>
  <si>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</si>
  <si>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</si>
  <si>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</si>
  <si>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</si>
  <si>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</si>
  <si>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</si>
  <si>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</si>
  <si>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</si>
  <si>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</si>
  <si>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</si>
  <si>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</si>
  <si>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</si>
  <si>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</si>
  <si>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</si>
  <si>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</si>
  <si>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</si>
  <si>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</si>
  <si>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</si>
  <si>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</si>
  <si>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</si>
  <si>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</si>
  <si>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</si>
  <si>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</si>
  <si>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</si>
  <si>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</si>
  <si>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</si>
  <si>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</si>
  <si>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</si>
  <si>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</si>
  <si>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</si>
  <si>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</si>
  <si>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</si>
  <si>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</si>
  <si>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</si>
  <si>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</si>
  <si>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</si>
  <si>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</si>
  <si>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</si>
  <si>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</si>
  <si>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</si>
  <si>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</si>
  <si>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</si>
  <si>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</si>
  <si>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</si>
  <si>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</si>
  <si>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</si>
  <si>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</si>
  <si>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</si>
  <si>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</si>
  <si>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</si>
  <si>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</si>
  <si>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</si>
  <si>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</si>
  <si>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</si>
  <si>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</si>
  <si>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</si>
  <si>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</si>
  <si>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</si>
  <si>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</si>
  <si>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</si>
  <si>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</si>
  <si>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</si>
  <si>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</si>
  <si>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</si>
  <si>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</si>
  <si>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</si>
  <si>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</si>
  <si>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</si>
  <si>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</si>
  <si>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</si>
  <si>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</si>
  <si>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</si>
  <si>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</si>
  <si>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</si>
  <si>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</si>
  <si>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</si>
  <si>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</si>
  <si>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</si>
  <si>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</si>
  <si>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</si>
  <si>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</si>
  <si>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</si>
  <si>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</si>
  <si>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</si>
  <si>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</si>
  <si>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</si>
  <si>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</si>
  <si>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</si>
  <si>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</si>
  <si>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</si>
  <si>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</si>
  <si>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</si>
  <si>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</si>
  <si>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</si>
  <si>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</si>
  <si>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</si>
  <si>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</si>
  <si>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</si>
  <si>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</si>
  <si>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</si>
  <si>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</si>
  <si>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</si>
  <si>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</si>
  <si>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</si>
  <si>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</si>
  <si>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</si>
  <si>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</si>
  <si>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</si>
  <si>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</si>
  <si>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</si>
  <si>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</si>
  <si>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</si>
  <si>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</si>
  <si>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</si>
  <si>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</si>
  <si>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</si>
  <si>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</si>
  <si>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</si>
  <si>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</si>
  <si>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</si>
  <si>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</si>
  <si>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</si>
  <si>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</si>
  <si>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</si>
  <si>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</si>
  <si>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</si>
  <si>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</si>
  <si>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</si>
  <si>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</si>
  <si>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</si>
  <si>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</si>
  <si>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</si>
  <si>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</si>
  <si>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</si>
  <si>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</si>
  <si>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</si>
  <si>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</si>
  <si>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</si>
  <si>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</si>
  <si>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</si>
  <si>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</si>
  <si>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</si>
  <si>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</si>
  <si>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</si>
  <si>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</si>
  <si>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</si>
  <si>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</si>
  <si>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</si>
  <si>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</si>
  <si>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</si>
  <si>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</si>
  <si>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</si>
  <si>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</si>
  <si>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</si>
  <si>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</si>
  <si>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</si>
  <si>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</si>
  <si>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</si>
  <si>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</si>
  <si>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</si>
  <si>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</si>
  <si>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</si>
  <si>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</si>
  <si>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</si>
  <si>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</si>
  <si>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</si>
  <si>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</si>
  <si>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</si>
  <si>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</si>
  <si>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</si>
  <si>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</si>
  <si>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</si>
  <si>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</si>
  <si>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</si>
  <si>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</si>
  <si>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</si>
  <si>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</si>
  <si>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</si>
  <si>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</si>
  <si>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</si>
  <si>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</si>
  <si>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</si>
  <si>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</si>
  <si>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</si>
  <si>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</si>
  <si>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</si>
  <si>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</si>
  <si>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</si>
  <si>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</si>
  <si>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</si>
  <si>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</si>
  <si>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</si>
  <si>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</si>
  <si>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</si>
  <si>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</si>
  <si>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</si>
  <si>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</si>
  <si>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</si>
  <si>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</si>
  <si>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</si>
  <si>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</si>
  <si>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</si>
  <si>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</si>
  <si>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</si>
  <si>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</si>
  <si>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</si>
  <si>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</si>
  <si>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</si>
  <si>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</si>
  <si>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</si>
  <si>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</si>
  <si>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</si>
  <si>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</si>
  <si>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</si>
  <si>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</si>
  <si>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</si>
  <si>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</si>
  <si>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</si>
  <si>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</si>
  <si>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</si>
  <si>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</si>
  <si>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</si>
  <si>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</si>
  <si>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</si>
  <si>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</si>
  <si>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</si>
  <si>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</si>
  <si>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</si>
  <si>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</si>
  <si>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</si>
  <si>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</si>
  <si>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</si>
  <si>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</si>
  <si>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</si>
  <si>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</si>
  <si>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</si>
  <si>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</si>
  <si>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</si>
  <si>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</si>
  <si>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</si>
  <si>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</si>
  <si>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</si>
  <si>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</si>
  <si>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</si>
  <si>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</si>
  <si>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</si>
  <si>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</si>
  <si>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</si>
  <si>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</si>
  <si>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</si>
  <si>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</si>
  <si>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</si>
  <si>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</si>
  <si>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</si>
  <si>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</si>
  <si>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</si>
  <si>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</si>
  <si>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</si>
  <si>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</si>
  <si>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</si>
  <si>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</si>
  <si>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</si>
  <si>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</si>
  <si>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</si>
  <si>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</si>
  <si>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</si>
  <si>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</si>
  <si>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</si>
  <si>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</si>
  <si>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</si>
  <si>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</si>
  <si>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</si>
  <si>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</si>
  <si>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</si>
  <si>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</si>
  <si>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</si>
  <si>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</si>
  <si>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</si>
  <si>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</si>
  <si>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</si>
  <si>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</si>
  <si>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</si>
  <si>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</si>
  <si>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</si>
  <si>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</si>
  <si>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</si>
  <si>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</si>
  <si>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</si>
  <si>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</si>
  <si>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</si>
  <si>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</si>
  <si>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</si>
  <si>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</si>
  <si>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</si>
  <si>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</si>
  <si>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</si>
  <si>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</si>
  <si>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</si>
  <si>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</si>
  <si>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</si>
  <si>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</si>
  <si>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</si>
  <si>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</si>
  <si>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</si>
  <si>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</si>
  <si>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</si>
  <si>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</si>
  <si>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</si>
  <si>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</si>
  <si>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</si>
  <si>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</si>
  <si>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</si>
  <si>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</si>
  <si>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</si>
  <si>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</si>
  <si>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</si>
  <si>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</si>
  <si>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</si>
  <si>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</si>
  <si>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</si>
  <si>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</si>
  <si>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</si>
  <si>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</si>
  <si>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</si>
  <si>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</si>
  <si>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</si>
  <si>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</si>
  <si>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</si>
  <si>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</si>
  <si>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</si>
  <si>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</si>
  <si>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</si>
  <si>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</si>
  <si>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</si>
  <si>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</si>
  <si>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</si>
  <si>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</si>
  <si>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</si>
  <si>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</si>
  <si>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</si>
  <si>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</si>
  <si>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</si>
  <si>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</si>
  <si>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</si>
  <si>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</si>
  <si>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</si>
  <si>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</si>
  <si>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</si>
  <si>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</si>
  <si>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</si>
  <si>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</si>
  <si>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</si>
  <si>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</si>
  <si>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</si>
  <si>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</si>
  <si>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</si>
  <si>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</si>
  <si>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</si>
  <si>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</si>
  <si>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</si>
  <si>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</si>
  <si>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</si>
  <si>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</si>
  <si>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</si>
  <si>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</si>
  <si>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</si>
  <si>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</si>
  <si>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</si>
  <si>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</si>
  <si>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</si>
  <si>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</si>
  <si>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</si>
  <si>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</si>
  <si>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</si>
  <si>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</si>
  <si>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</si>
  <si>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</si>
  <si>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</si>
  <si>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</si>
  <si>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</si>
  <si>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</si>
  <si>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</si>
  <si>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</si>
  <si>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</si>
  <si>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</si>
  <si>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</si>
  <si>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</si>
  <si>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</si>
  <si>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</si>
  <si>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</si>
  <si>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</si>
  <si>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</si>
  <si>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</si>
  <si>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</si>
  <si>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</si>
  <si>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</si>
  <si>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</si>
  <si>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</si>
  <si>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</si>
  <si>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</si>
  <si>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</si>
  <si>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</si>
  <si>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</si>
  <si>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</si>
  <si>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</si>
  <si>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</si>
  <si>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</si>
  <si>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</si>
  <si>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</si>
  <si>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</si>
  <si>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</si>
  <si>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</si>
  <si>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</si>
  <si>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</si>
  <si>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</si>
  <si>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</si>
  <si>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</si>
  <si>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</si>
  <si>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</si>
  <si>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</si>
  <si>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</si>
  <si>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</si>
  <si>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</si>
  <si>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</si>
  <si>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</si>
  <si>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</si>
  <si>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</si>
  <si>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</si>
  <si>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</si>
  <si>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</si>
  <si>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</si>
  <si>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</si>
  <si>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</si>
  <si>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</si>
  <si>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</si>
  <si>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</si>
  <si>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</si>
  <si>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</si>
  <si>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</si>
  <si>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</si>
  <si>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</si>
  <si>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</si>
  <si>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</si>
  <si>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</si>
  <si>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</si>
  <si>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</si>
  <si>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</si>
  <si>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</si>
  <si>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</si>
  <si>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</si>
  <si>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</si>
  <si>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</si>
  <si>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</si>
  <si>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</si>
  <si>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</si>
  <si>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</si>
  <si>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</si>
  <si>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</si>
  <si>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</si>
  <si>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</si>
  <si>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</si>
  <si>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</si>
  <si>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</si>
  <si>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</si>
  <si>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</si>
  <si>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</si>
  <si>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</si>
  <si>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</si>
  <si>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</si>
  <si>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</si>
  <si>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</si>
  <si>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</si>
  <si>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</si>
  <si>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</si>
  <si>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</si>
  <si>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</si>
  <si>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</si>
  <si>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</si>
  <si>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</si>
  <si>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</si>
  <si>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</si>
  <si>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</si>
  <si>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</si>
  <si>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</si>
  <si>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</si>
  <si>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</si>
  <si>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</si>
  <si>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</si>
  <si>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</si>
  <si>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</si>
  <si>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</si>
  <si>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</si>
  <si>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</si>
  <si>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</si>
  <si>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</si>
  <si>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</si>
  <si>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</si>
  <si>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</si>
  <si>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</si>
  <si>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</si>
  <si>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</si>
  <si>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</si>
  <si>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</si>
  <si>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</si>
  <si>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</si>
  <si>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</si>
  <si>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</si>
  <si>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</si>
  <si>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</si>
  <si>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</si>
  <si>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</si>
  <si>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</si>
  <si>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</si>
  <si>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</si>
  <si>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</si>
  <si>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</si>
  <si>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</si>
  <si>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</si>
  <si>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</si>
  <si>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</si>
  <si>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</si>
  <si>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</si>
  <si>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</si>
  <si>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</si>
  <si>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</si>
  <si>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</si>
  <si>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</si>
  <si>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</si>
  <si>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</si>
  <si>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</si>
  <si>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</si>
  <si>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</si>
  <si>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</si>
  <si>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</si>
  <si>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</si>
  <si>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</si>
  <si>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</si>
  <si>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</si>
  <si>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</si>
  <si>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</si>
  <si>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</si>
  <si>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</si>
  <si>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</si>
  <si>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</si>
  <si>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</si>
  <si>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</si>
  <si>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</si>
  <si>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</si>
  <si>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</si>
  <si>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</si>
  <si>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</si>
  <si>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</si>
  <si>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</si>
  <si>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</si>
  <si>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</si>
  <si>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</si>
  <si>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</si>
  <si>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</si>
  <si>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</si>
  <si>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</si>
  <si>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</si>
  <si>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</si>
  <si>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</si>
  <si>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</si>
  <si>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</si>
  <si>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</si>
  <si>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</si>
  <si>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</si>
  <si>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</si>
  <si>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</si>
  <si>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</si>
  <si>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</si>
  <si>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</si>
  <si>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</si>
  <si>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</si>
  <si>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</si>
  <si>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</si>
  <si>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</si>
  <si>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</si>
  <si>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</si>
  <si>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</si>
  <si>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</si>
  <si>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</si>
  <si>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</si>
  <si>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</si>
  <si>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</si>
  <si>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</si>
  <si>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</si>
  <si>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</si>
  <si>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</si>
  <si>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</si>
  <si>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</si>
  <si>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</si>
  <si>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</si>
  <si>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</si>
  <si>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</si>
  <si>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</si>
  <si>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</si>
  <si>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</si>
  <si>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</si>
  <si>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</si>
  <si>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</si>
  <si>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</si>
  <si>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</si>
  <si>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</si>
  <si>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</si>
  <si>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</si>
  <si>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</si>
  <si>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</si>
  <si>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</si>
  <si>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</si>
  <si>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</si>
  <si>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</si>
  <si>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</si>
  <si>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</si>
  <si>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</si>
  <si>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</si>
  <si>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</si>
  <si>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</si>
  <si>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</si>
  <si>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</si>
  <si>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</si>
  <si>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</si>
  <si>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</si>
  <si>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</si>
  <si>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</si>
  <si>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</si>
  <si>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</si>
  <si>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</si>
  <si>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</si>
  <si>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</si>
  <si>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</si>
  <si>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</si>
  <si>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</si>
  <si>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</si>
  <si>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</si>
  <si>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</si>
  <si>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</si>
  <si>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</si>
  <si>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</si>
  <si>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</si>
  <si>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</si>
  <si>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</si>
  <si>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</si>
  <si>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</si>
  <si>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</si>
  <si>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</si>
  <si>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</si>
  <si>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</si>
  <si>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</si>
  <si>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</si>
  <si>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</si>
  <si>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</si>
  <si>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</si>
  <si>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</si>
  <si>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</si>
  <si>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</si>
  <si>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</si>
  <si>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</si>
  <si>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</si>
  <si>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</si>
  <si>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</si>
  <si>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</si>
  <si>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</si>
  <si>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</si>
  <si>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</si>
  <si>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</si>
  <si>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</si>
  <si>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</si>
  <si>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</si>
  <si>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</si>
  <si>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</si>
  <si>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</si>
  <si>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</si>
  <si>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</si>
  <si>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</si>
  <si>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</si>
  <si>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</si>
  <si>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</si>
  <si>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</si>
  <si>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</si>
  <si>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</si>
  <si>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</si>
  <si>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</si>
  <si>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</si>
  <si>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</si>
  <si>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</si>
  <si>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</si>
  <si>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</si>
  <si>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</si>
  <si>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</si>
  <si>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</si>
  <si>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</si>
  <si>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</si>
  <si>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</si>
  <si>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</si>
  <si>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</si>
  <si>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</si>
  <si>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</si>
  <si>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</si>
  <si>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</si>
  <si>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</si>
  <si>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</si>
  <si>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</si>
  <si>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</si>
  <si>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</si>
  <si>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</si>
  <si>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</si>
  <si>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</si>
  <si>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</si>
  <si>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</si>
  <si>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</si>
  <si>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</si>
  <si>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</si>
  <si>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</si>
  <si>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</si>
  <si>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</si>
  <si>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</si>
  <si>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</si>
  <si>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</si>
  <si>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</si>
  <si>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</si>
  <si>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</si>
  <si>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</si>
  <si>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</si>
  <si>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</si>
  <si>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</si>
  <si>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</si>
  <si>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</si>
  <si>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</si>
  <si>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</si>
  <si>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</si>
  <si>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</si>
  <si>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</si>
  <si>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</si>
  <si>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</si>
  <si>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</si>
  <si>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</si>
  <si>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</si>
  <si>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</si>
  <si>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</si>
  <si>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</si>
  <si>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</si>
  <si>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</si>
  <si>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</si>
  <si>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</si>
  <si>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</si>
  <si>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</si>
  <si>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</si>
  <si>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</si>
  <si>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</si>
  <si>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</si>
  <si>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</si>
  <si>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</si>
  <si>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</si>
  <si>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</si>
  <si>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</si>
  <si>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</si>
  <si>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</si>
  <si>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</si>
  <si>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</si>
  <si>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</si>
  <si>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</si>
  <si>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</si>
  <si>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</si>
  <si>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</si>
  <si>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</si>
  <si>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</si>
  <si>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</si>
  <si>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</si>
  <si>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</si>
  <si>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</si>
  <si>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</si>
  <si>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</si>
  <si>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</si>
  <si>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</si>
  <si>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</si>
  <si>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</si>
  <si>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</si>
  <si>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</si>
  <si>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</si>
  <si>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</si>
  <si>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</si>
  <si>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</si>
  <si>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</si>
  <si>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</si>
  <si>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</si>
  <si>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</si>
  <si>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</si>
  <si>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</si>
  <si>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</si>
  <si>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</si>
  <si>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</si>
  <si>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</si>
  <si>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</si>
  <si>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</si>
  <si>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</si>
  <si>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</si>
  <si>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</si>
  <si>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</si>
  <si>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</si>
  <si>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</si>
  <si>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</si>
  <si>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</si>
  <si>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</si>
  <si>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</si>
  <si>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</si>
  <si>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</si>
  <si>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</si>
  <si>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</si>
  <si>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the graph</t>
  </si>
  <si>
    <t>reps</t>
  </si>
  <si>
    <t>calls</t>
  </si>
  <si>
    <t>amount</t>
  </si>
  <si>
    <t>sel.calls</t>
  </si>
  <si>
    <t>sel.amounts</t>
  </si>
  <si>
    <t>Selected Rep</t>
  </si>
  <si>
    <t>Column Labels</t>
  </si>
  <si>
    <t>Total</t>
  </si>
  <si>
    <t>Reps Summary</t>
  </si>
  <si>
    <t>Amount</t>
  </si>
  <si>
    <t>% of calls</t>
  </si>
  <si>
    <t>Call rank</t>
  </si>
  <si>
    <t>Amount rank</t>
  </si>
  <si>
    <t>Labels</t>
  </si>
  <si>
    <t>Images</t>
  </si>
  <si>
    <t xml:space="preserve"> Call Centre Report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</si>
</sst>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8" formatCode="_-[$$-409]* #,##0.00_ ;_-[$$-409]* \-#,##0.00\ ;_-[$$-409]* &quot;-&quot;??_ ;_-@_ "/>
  </numFmts>
  <fonts count="9"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0"/>
      <name val="Aptos"/>
      <family val="2"/>
      <scheme val="minor"/>
    </font>
    <font>
      <sz val="10"/>
      <color theme="1"/>
      <name val="Aptos"/>
      <family val="2"/>
      <scheme val="minor"/>
    </font>
    <font>
      <b/>
      <sz val="10"/>
      <color theme="1"/>
      <name val="Aptos"/>
      <family val="2"/>
      <scheme val="minor"/>
    </font>
    <font>
      <sz val="8"/>
      <color theme="0" tint="-0.499984740745262"/>
      <name val="Aptos"/>
      <family val="2"/>
      <scheme val="minor"/>
    </font>
    <font>
      <sz val="22"/>
      <color theme="0" tint="-0.499984740745262"/>
      <name val="Aptos ExtraBold"/>
      <family val="2"/>
      <scheme val="maj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tint="-0.249977111117893"/>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1">
    <xf numFmtId="0" fontId="0" fillId="0" borderId="0"/>
  </cellStyleXfs>
  <cellXfs count="45">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4" fillId="3" borderId="0" xfId="0" applyFont="1" applyFill="1"/>
    <xf numFmtId="0" fontId="0" fillId="0" borderId="0" xfId="0" applyAlignment="1">
      <alignment horizontal="left"/>
    </xf>
    <xf numFmtId="167" fontId="0" fillId="0" borderId="0" xfId="0" applyNumberFormat="1"/>
    <xf numFmtId="0" fontId="0" fillId="4" borderId="0" xfId="0" applyFill="1" applyAlignment="1">
      <alignment horizontal="left"/>
    </xf>
    <xf numFmtId="0" fontId="0" fillId="0" borderId="0" xfId="0" applyAlignment="1">
      <alignment horizontal="left" indent="1"/>
    </xf>
    <xf numFmtId="0" fontId="0" fillId="5" borderId="10" xfId="0" applyFill="1" applyBorder="1"/>
    <xf numFmtId="0" fontId="5" fillId="5" borderId="0" xfId="0" applyFont="1" applyFill="1"/>
    <xf numFmtId="0" fontId="5" fillId="5" borderId="14" xfId="0" applyFont="1" applyFill="1" applyBorder="1"/>
    <xf numFmtId="0" fontId="5" fillId="5" borderId="13" xfId="0" applyFont="1" applyFill="1" applyBorder="1" applyAlignment="1">
      <alignment horizontal="left" indent="1"/>
    </xf>
    <xf numFmtId="168" fontId="5" fillId="5" borderId="0" xfId="0" applyNumberFormat="1" applyFont="1" applyFill="1"/>
    <xf numFmtId="168" fontId="5" fillId="5" borderId="14" xfId="0" applyNumberFormat="1" applyFont="1" applyFill="1" applyBorder="1"/>
    <xf numFmtId="0" fontId="5" fillId="5" borderId="15" xfId="0" applyFont="1" applyFill="1" applyBorder="1" applyAlignment="1">
      <alignment horizontal="left" indent="1"/>
    </xf>
    <xf numFmtId="168" fontId="5" fillId="5" borderId="16" xfId="0" applyNumberFormat="1" applyFont="1" applyFill="1" applyBorder="1"/>
    <xf numFmtId="168" fontId="5" fillId="5" borderId="17" xfId="0" applyNumberFormat="1" applyFont="1" applyFill="1" applyBorder="1"/>
    <xf numFmtId="0" fontId="1" fillId="5" borderId="11" xfId="0" applyFont="1" applyFill="1" applyBorder="1"/>
    <xf numFmtId="0" fontId="6" fillId="5" borderId="13" xfId="0" applyFont="1" applyFill="1" applyBorder="1"/>
    <xf numFmtId="0" fontId="1" fillId="5" borderId="12" xfId="0" applyFont="1" applyFill="1" applyBorder="1"/>
    <xf numFmtId="0" fontId="8" fillId="3" borderId="0" xfId="0" applyFont="1" applyFill="1"/>
    <xf numFmtId="0" fontId="0" fillId="3" borderId="0" xfId="0" applyFill="1" applyAlignment="1">
      <alignment horizontal="center"/>
    </xf>
    <xf numFmtId="0" fontId="7" fillId="3" borderId="0" xfId="0" applyFont="1" applyFill="1" applyAlignment="1">
      <alignment horizontal="center"/>
    </xf>
  </cellXfs>
  <cellStyles count="1">
    <cellStyle name="Normal" xfId="0" builtinId="0"/>
  </cellStyles>
  <dxfs count="20">
    <dxf>
      <fill>
        <patternFill patternType="solid">
          <bgColor theme="8" tint="-0.249977111117893"/>
        </patternFill>
      </fill>
    </dxf>
    <dxf>
      <fill>
        <patternFill>
          <bgColor theme="8" tint="0.39994506668294322"/>
        </patternFill>
      </fill>
      <border>
        <left style="thin">
          <color theme="1" tint="0.24994659260841701"/>
        </left>
        <right style="thin">
          <color theme="1" tint="0.2499465926084170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8" tint="-0.249977111117893"/>
        </patternFill>
      </fill>
    </dxf>
    <dxf>
      <font>
        <b/>
        <color theme="1"/>
      </font>
      <border>
        <bottom style="thin">
          <color theme="8"/>
        </bottom>
        <vertical/>
        <horizontal/>
      </border>
    </dxf>
    <dxf>
      <font>
        <color theme="1"/>
      </font>
      <border>
        <left style="thin">
          <color theme="0"/>
        </left>
        <right style="thin">
          <color theme="0"/>
        </right>
        <top style="thin">
          <color theme="0"/>
        </top>
        <bottom style="thin">
          <color theme="0"/>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9"/>
    </tableStyle>
    <tableStyle name="SlicerStyleLight5 2 2" pivot="0" table="0" count="10" xr9:uid="{25016F2A-4F77-4955-8A05-03332F7C1B3F}">
      <tableStyleElement type="wholeTable" dxfId="18"/>
      <tableStyleElement type="headerRow" dxfId="1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b/>
            <i val="0"/>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1499679555650502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5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project.xlsx]pivots!weekly trend</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pivots!$G$14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pivots!$F$15:$F$22</c:f>
              <c:strCache>
                <c:ptCount val="7"/>
                <c:pt idx="0">
                  <c:v>Sunday</c:v>
                </c:pt>
                <c:pt idx="1">
                  <c:v>Monday</c:v>
                </c:pt>
                <c:pt idx="2">
                  <c:v>Tuesday</c:v>
                </c:pt>
                <c:pt idx="3">
                  <c:v>Wednesday</c:v>
                </c:pt>
                <c:pt idx="4">
                  <c:v>Thursday</c:v>
                </c:pt>
                <c:pt idx="5">
                  <c:v>Friday</c:v>
                </c:pt>
                <c:pt idx="6">
                  <c:v>Saturday</c:v>
                </c:pt>
              </c:strCache>
            </c:strRef>
          </c:cat>
          <c:val>
            <c:numRef>
              <c:f>pivots!$G$15:$G$22</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9437-4DEC-A1E3-8963DB87E676}"/>
            </c:ext>
          </c:extLst>
        </c:ser>
        <c:dLbls>
          <c:dLblPos val="outEnd"/>
          <c:showLegendKey val="0"/>
          <c:showVal val="1"/>
          <c:showCatName val="0"/>
          <c:showSerName val="0"/>
          <c:showPercent val="0"/>
          <c:showBubbleSize val="0"/>
        </c:dLbls>
        <c:gapWidth val="25"/>
        <c:axId val="88094752"/>
        <c:axId val="49316848"/>
      </c:barChart>
      <c:catAx>
        <c:axId val="880947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16848"/>
        <c:crosses val="autoZero"/>
        <c:auto val="1"/>
        <c:lblAlgn val="ctr"/>
        <c:lblOffset val="100"/>
        <c:noMultiLvlLbl val="0"/>
      </c:catAx>
      <c:valAx>
        <c:axId val="49316848"/>
        <c:scaling>
          <c:orientation val="minMax"/>
        </c:scaling>
        <c:delete val="1"/>
        <c:axPos val="b"/>
        <c:numFmt formatCode="#,##0" sourceLinked="1"/>
        <c:majorTickMark val="none"/>
        <c:minorTickMark val="none"/>
        <c:tickLblPos val="nextTo"/>
        <c:crossAx val="8809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project.xlsx]pivots!monthly trend</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accent5"/>
                </a:solidFill>
                <a:latin typeface="+mj-lt"/>
              </a:rPr>
              <a:t>Call</a:t>
            </a:r>
            <a:r>
              <a:rPr lang="en-IN" sz="1600" baseline="0">
                <a:solidFill>
                  <a:schemeClr val="accent5"/>
                </a:solidFill>
                <a:latin typeface="+mj-lt"/>
              </a:rPr>
              <a:t> Trend</a:t>
            </a:r>
            <a:endParaRPr lang="en-IN" sz="1600">
              <a:solidFill>
                <a:schemeClr val="accent5"/>
              </a:solidFill>
              <a:latin typeface="+mj-lt"/>
            </a:endParaRPr>
          </a:p>
        </c:rich>
      </c:tx>
      <c:layout>
        <c:manualLayout>
          <c:xMode val="edge"/>
          <c:yMode val="edge"/>
          <c:x val="3.263888888888889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40000"/>
                  <a:lumOff val="60000"/>
                  <a:alpha val="50000"/>
                </a:schemeClr>
              </a:gs>
              <a:gs pos="100000">
                <a:schemeClr val="accent6"/>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lumMod val="95000"/>
              </a:schemeClr>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circle"/>
          <c:size val="7"/>
          <c:spPr>
            <a:solidFill>
              <a:schemeClr val="bg1">
                <a:lumMod val="95000"/>
              </a:schemeClr>
            </a:solidFill>
            <a:ln w="25400">
              <a:solidFill>
                <a:schemeClr val="tx1"/>
              </a:solidFill>
            </a:ln>
            <a:effectLst/>
          </c:spPr>
        </c:marker>
      </c:pivotFmt>
    </c:pivotFmts>
    <c:plotArea>
      <c:layout>
        <c:manualLayout>
          <c:layoutTarget val="inner"/>
          <c:xMode val="edge"/>
          <c:yMode val="edge"/>
          <c:x val="6.5080927384076975E-2"/>
          <c:y val="0.17634259259259263"/>
          <c:w val="0.90158573928258967"/>
          <c:h val="0.72125801983085447"/>
        </c:manualLayout>
      </c:layout>
      <c:areaChart>
        <c:grouping val="stacked"/>
        <c:varyColors val="0"/>
        <c:ser>
          <c:idx val="1"/>
          <c:order val="1"/>
          <c:tx>
            <c:strRef>
              <c:f>pivots!$C$14</c:f>
              <c:strCache>
                <c:ptCount val="1"/>
                <c:pt idx="0">
                  <c:v>Call count2</c:v>
                </c:pt>
              </c:strCache>
            </c:strRef>
          </c:tx>
          <c:spPr>
            <a:gradFill flip="none" rotWithShape="1">
              <a:gsLst>
                <a:gs pos="0">
                  <a:schemeClr val="accent6">
                    <a:lumMod val="40000"/>
                    <a:lumOff val="60000"/>
                    <a:alpha val="50000"/>
                  </a:schemeClr>
                </a:gs>
                <a:gs pos="100000">
                  <a:schemeClr val="accent6"/>
                </a:gs>
              </a:gsLst>
              <a:lin ang="16200000" scaled="1"/>
              <a:tileRect/>
            </a:gradFill>
            <a:ln>
              <a:noFill/>
            </a:ln>
            <a:effectLst/>
          </c:spPr>
          <c:cat>
            <c:strRef>
              <c:f>pivots!$A$15:$A$27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pivots!$C$15:$C$27</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1612-4A3B-8142-2B4BF21BBA36}"/>
            </c:ext>
          </c:extLst>
        </c:ser>
        <c:dLbls>
          <c:showLegendKey val="0"/>
          <c:showVal val="0"/>
          <c:showCatName val="0"/>
          <c:showSerName val="0"/>
          <c:showPercent val="0"/>
          <c:showBubbleSize val="0"/>
        </c:dLbls>
        <c:axId val="2030028016"/>
        <c:axId val="864693744"/>
      </c:areaChart>
      <c:lineChart>
        <c:grouping val="standard"/>
        <c:varyColors val="0"/>
        <c:ser>
          <c:idx val="0"/>
          <c:order val="0"/>
          <c:tx>
            <c:strRef>
              <c:f>pivots!$B$14</c:f>
              <c:strCache>
                <c:ptCount val="1"/>
                <c:pt idx="0">
                  <c:v>Call count</c:v>
                </c:pt>
              </c:strCache>
            </c:strRef>
          </c:tx>
          <c:spPr>
            <a:ln w="28575" cap="rnd">
              <a:solidFill>
                <a:schemeClr val="accent6"/>
              </a:solidFill>
              <a:round/>
            </a:ln>
            <a:effectLst/>
          </c:spPr>
          <c:marker>
            <c:symbol val="circle"/>
            <c:size val="7"/>
            <c:spPr>
              <a:solidFill>
                <a:schemeClr val="bg1">
                  <a:lumMod val="95000"/>
                </a:schemeClr>
              </a:solidFill>
              <a:ln w="25400">
                <a:solidFill>
                  <a:schemeClr val="tx1"/>
                </a:solidFill>
              </a:ln>
              <a:effectLst/>
            </c:spPr>
          </c:marker>
          <c:cat>
            <c:strRef>
              <c:f>pivots!$A$15:$A$27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pivots!$B$15:$B$27</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1612-4A3B-8142-2B4BF21BBA36}"/>
            </c:ext>
          </c:extLst>
        </c:ser>
        <c:dLbls>
          <c:showLegendKey val="0"/>
          <c:showVal val="0"/>
          <c:showCatName val="0"/>
          <c:showSerName val="0"/>
          <c:showPercent val="0"/>
          <c:showBubbleSize val="0"/>
        </c:dLbls>
        <c:marker val="1"/>
        <c:smooth val="0"/>
        <c:axId val="2030028016"/>
        <c:axId val="864693744"/>
      </c:lineChart>
      <c:catAx>
        <c:axId val="2030028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693744"/>
        <c:crosses val="autoZero"/>
        <c:auto val="1"/>
        <c:lblAlgn val="ctr"/>
        <c:lblOffset val="100"/>
        <c:noMultiLvlLbl val="0"/>
      </c:catAx>
      <c:valAx>
        <c:axId val="8646937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02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accent5"/>
                </a:solidFill>
                <a:latin typeface="+mj-lt"/>
              </a:rPr>
              <a:t>Amount</a:t>
            </a:r>
          </a:p>
        </c:rich>
      </c:tx>
      <c:layout>
        <c:manualLayout>
          <c:xMode val="edge"/>
          <c:yMode val="edge"/>
          <c:x val="4.4585987261146494E-2"/>
          <c:y val="3.07017543859649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pivots!$F$32:$F$36</c:f>
              <c:strCache>
                <c:ptCount val="5"/>
                <c:pt idx="0">
                  <c:v>R01</c:v>
                </c:pt>
                <c:pt idx="1">
                  <c:v>R02</c:v>
                </c:pt>
                <c:pt idx="2">
                  <c:v>R03</c:v>
                </c:pt>
                <c:pt idx="3">
                  <c:v>R04</c:v>
                </c:pt>
                <c:pt idx="4">
                  <c:v>R05</c:v>
                </c:pt>
              </c:strCache>
            </c:strRef>
          </c:cat>
          <c:val>
            <c:numRef>
              <c:f>pivots!$H$32:$H$36</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136B-4346-8723-6E0FE4E8F361}"/>
            </c:ext>
          </c:extLst>
        </c:ser>
        <c:ser>
          <c:idx val="1"/>
          <c:order val="1"/>
          <c:tx>
            <c:strRef>
              <c:f>pivots!$J$31</c:f>
              <c:strCache>
                <c:ptCount val="1"/>
                <c:pt idx="0">
                  <c:v>sel.amounts</c:v>
                </c:pt>
              </c:strCache>
            </c:strRef>
          </c:tx>
          <c:spPr>
            <a:gradFill>
              <a:gsLst>
                <a:gs pos="0">
                  <a:schemeClr val="accent5">
                    <a:lumMod val="60000"/>
                    <a:lumOff val="40000"/>
                  </a:schemeClr>
                </a:gs>
                <a:gs pos="100000">
                  <a:schemeClr val="accent5"/>
                </a:gs>
              </a:gsLst>
              <a:lin ang="16200000" scaled="1"/>
            </a:gradFill>
            <a:ln>
              <a:noFill/>
            </a:ln>
            <a:effectLst/>
          </c:spPr>
          <c:invertIfNegative val="0"/>
          <c:val>
            <c:numRef>
              <c:f>pivots!$J$32:$J$36</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1-136B-4346-8723-6E0FE4E8F361}"/>
            </c:ext>
          </c:extLst>
        </c:ser>
        <c:dLbls>
          <c:showLegendKey val="0"/>
          <c:showVal val="0"/>
          <c:showCatName val="0"/>
          <c:showSerName val="0"/>
          <c:showPercent val="0"/>
          <c:showBubbleSize val="0"/>
        </c:dLbls>
        <c:gapWidth val="25"/>
        <c:overlap val="100"/>
        <c:axId val="88126768"/>
        <c:axId val="49347568"/>
      </c:barChart>
      <c:catAx>
        <c:axId val="88126768"/>
        <c:scaling>
          <c:orientation val="maxMin"/>
        </c:scaling>
        <c:delete val="1"/>
        <c:axPos val="l"/>
        <c:numFmt formatCode="General" sourceLinked="1"/>
        <c:majorTickMark val="out"/>
        <c:minorTickMark val="none"/>
        <c:tickLblPos val="nextTo"/>
        <c:crossAx val="49347568"/>
        <c:crosses val="autoZero"/>
        <c:auto val="1"/>
        <c:lblAlgn val="ctr"/>
        <c:lblOffset val="100"/>
        <c:noMultiLvlLbl val="0"/>
      </c:catAx>
      <c:valAx>
        <c:axId val="49347568"/>
        <c:scaling>
          <c:orientation val="minMax"/>
          <c:max val="25000"/>
          <c:min val="0"/>
        </c:scaling>
        <c:delete val="1"/>
        <c:axPos val="t"/>
        <c:numFmt formatCode="\$#,###.0,&quot;k&quot;" sourceLinked="1"/>
        <c:majorTickMark val="out"/>
        <c:minorTickMark val="none"/>
        <c:tickLblPos val="nextTo"/>
        <c:crossAx val="8812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accent5"/>
                </a:solidFill>
                <a:latin typeface="+mj-lt"/>
              </a:rPr>
              <a:t>Calls</a:t>
            </a:r>
          </a:p>
        </c:rich>
      </c:tx>
      <c:layout>
        <c:manualLayout>
          <c:xMode val="edge"/>
          <c:yMode val="edge"/>
          <c:x val="2.8846153846153848E-2"/>
          <c:y val="2.21631205673758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771014200148059"/>
          <c:y val="9.7517730496453903E-2"/>
          <c:w val="0.82528131098997237"/>
          <c:h val="0.90248226950354615"/>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pivots!$F$32:$F$36</c:f>
              <c:strCache>
                <c:ptCount val="5"/>
                <c:pt idx="0">
                  <c:v>R01</c:v>
                </c:pt>
                <c:pt idx="1">
                  <c:v>R02</c:v>
                </c:pt>
                <c:pt idx="2">
                  <c:v>R03</c:v>
                </c:pt>
                <c:pt idx="3">
                  <c:v>R04</c:v>
                </c:pt>
                <c:pt idx="4">
                  <c:v>R05</c:v>
                </c:pt>
              </c:strCache>
            </c:strRef>
          </c:cat>
          <c:val>
            <c:numRef>
              <c:f>pivots!$G$32:$G$36</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8433-4A0A-95CA-A92FA1ACD058}"/>
            </c:ext>
          </c:extLst>
        </c:ser>
        <c:ser>
          <c:idx val="1"/>
          <c:order val="1"/>
          <c:tx>
            <c:strRef>
              <c:f>pivots!$I$31</c:f>
              <c:strCache>
                <c:ptCount val="1"/>
                <c:pt idx="0">
                  <c:v>sel.calls</c:v>
                </c:pt>
              </c:strCache>
            </c:strRef>
          </c:tx>
          <c:spPr>
            <a:gradFill>
              <a:gsLst>
                <a:gs pos="0">
                  <a:schemeClr val="accent5">
                    <a:lumMod val="60000"/>
                    <a:lumOff val="40000"/>
                  </a:schemeClr>
                </a:gs>
                <a:gs pos="100000">
                  <a:schemeClr val="accent5"/>
                </a:gs>
              </a:gsLst>
              <a:lin ang="162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pivots!$I$32:$I$36</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8433-4A0A-95CA-A92FA1ACD058}"/>
            </c:ext>
          </c:extLst>
        </c:ser>
        <c:dLbls>
          <c:dLblPos val="outEnd"/>
          <c:showLegendKey val="0"/>
          <c:showVal val="1"/>
          <c:showCatName val="0"/>
          <c:showSerName val="0"/>
          <c:showPercent val="0"/>
          <c:showBubbleSize val="0"/>
        </c:dLbls>
        <c:gapWidth val="25"/>
        <c:overlap val="100"/>
        <c:axId val="88126768"/>
        <c:axId val="49347568"/>
      </c:barChart>
      <c:catAx>
        <c:axId val="8812676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47568"/>
        <c:crosses val="autoZero"/>
        <c:auto val="1"/>
        <c:lblAlgn val="ctr"/>
        <c:lblOffset val="100"/>
        <c:noMultiLvlLbl val="0"/>
      </c:catAx>
      <c:valAx>
        <c:axId val="49347568"/>
        <c:scaling>
          <c:orientation val="minMax"/>
          <c:min val="0"/>
        </c:scaling>
        <c:delete val="1"/>
        <c:axPos val="t"/>
        <c:numFmt formatCode="General" sourceLinked="1"/>
        <c:majorTickMark val="out"/>
        <c:minorTickMark val="none"/>
        <c:tickLblPos val="nextTo"/>
        <c:crossAx val="8812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project.xlsx]pivots!male vs female callers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5">
                    <a:lumMod val="60000"/>
                    <a:lumOff val="40000"/>
                  </a:schemeClr>
                </a:solidFill>
                <a:latin typeface="+mj-lt"/>
              </a:rPr>
              <a:t>Male</a:t>
            </a:r>
            <a:r>
              <a:rPr lang="en-IN" baseline="0"/>
              <a:t> </a:t>
            </a:r>
            <a:r>
              <a:rPr lang="en-IN" baseline="0">
                <a:latin typeface="+mj-lt"/>
              </a:rPr>
              <a:t>vs</a:t>
            </a:r>
            <a:r>
              <a:rPr lang="en-IN" baseline="0"/>
              <a:t> </a:t>
            </a:r>
            <a:r>
              <a:rPr lang="en-IN" baseline="0">
                <a:solidFill>
                  <a:schemeClr val="accent5">
                    <a:lumMod val="75000"/>
                  </a:schemeClr>
                </a:solidFill>
                <a:latin typeface="+mj-lt"/>
              </a:rPr>
              <a:t>Female</a:t>
            </a:r>
            <a:r>
              <a:rPr lang="en-IN" baseline="0"/>
              <a:t> </a:t>
            </a:r>
            <a:r>
              <a:rPr lang="en-IN" baseline="0">
                <a:latin typeface="+mj-lt"/>
              </a:rPr>
              <a:t>Callers</a:t>
            </a:r>
            <a:endParaRPr lang="en-IN">
              <a:latin typeface="+mj-lt"/>
            </a:endParaRPr>
          </a:p>
        </c:rich>
      </c:tx>
      <c:layout>
        <c:manualLayout>
          <c:xMode val="edge"/>
          <c:yMode val="edge"/>
          <c:x val="0.23217360838944906"/>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accent5">
                <a:alpha val="50000"/>
              </a:schemeClr>
            </a:solidFill>
            <a:ln>
              <a:solidFill>
                <a:schemeClr val="accent5">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5">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solidFill>
              <a:schemeClr val="accent5">
                <a:lumMod val="60000"/>
                <a:lumOff val="40000"/>
              </a:schemeClr>
            </a:solidFill>
            <a:ln>
              <a:solidFill>
                <a:schemeClr val="bg1">
                  <a:alpha val="50000"/>
                </a:schemeClr>
              </a:solidFill>
            </a:ln>
            <a:effectLst/>
          </c:spPr>
          <c:txPr>
            <a:bodyPr rot="0" spcFirstLastPara="1" vertOverflow="clip" horzOverflow="clip" vert="horz" wrap="square" lIns="36576" tIns="18288" rIns="36576" bIns="18288"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accent5">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barChart>
        <c:barDir val="col"/>
        <c:grouping val="percentStacked"/>
        <c:varyColors val="0"/>
        <c:ser>
          <c:idx val="0"/>
          <c:order val="0"/>
          <c:tx>
            <c:strRef>
              <c:f>pivots!$B$48:$B$49</c:f>
              <c:strCache>
                <c:ptCount val="1"/>
                <c:pt idx="0">
                  <c:v>Female</c:v>
                </c:pt>
              </c:strCache>
            </c:strRef>
          </c:tx>
          <c:spPr>
            <a:solidFill>
              <a:schemeClr val="accent5"/>
            </a:solidFill>
            <a:ln>
              <a:noFill/>
            </a:ln>
            <a:effectLst/>
          </c:spPr>
          <c:invertIfNegative val="0"/>
          <c:dLbls>
            <c:spPr>
              <a:solidFill>
                <a:schemeClr val="accent5">
                  <a:alpha val="50000"/>
                </a:schemeClr>
              </a:solidFill>
              <a:ln>
                <a:solidFill>
                  <a:schemeClr val="accent5">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pivots!$A$50:$A$53</c:f>
              <c:strCache>
                <c:ptCount val="3"/>
                <c:pt idx="0">
                  <c:v>Cincinnati</c:v>
                </c:pt>
                <c:pt idx="1">
                  <c:v>Cleveland</c:v>
                </c:pt>
                <c:pt idx="2">
                  <c:v>Columbus</c:v>
                </c:pt>
              </c:strCache>
            </c:strRef>
          </c:cat>
          <c:val>
            <c:numRef>
              <c:f>pivots!$B$50:$B$53</c:f>
              <c:numCache>
                <c:formatCode>#,##0</c:formatCode>
                <c:ptCount val="3"/>
                <c:pt idx="0">
                  <c:v>144</c:v>
                </c:pt>
                <c:pt idx="1">
                  <c:v>326</c:v>
                </c:pt>
                <c:pt idx="2">
                  <c:v>129</c:v>
                </c:pt>
              </c:numCache>
            </c:numRef>
          </c:val>
          <c:extLst>
            <c:ext xmlns:c16="http://schemas.microsoft.com/office/drawing/2014/chart" uri="{C3380CC4-5D6E-409C-BE32-E72D297353CC}">
              <c16:uniqueId val="{00000000-DE0B-41A4-AD6C-91A9B0DF4C87}"/>
            </c:ext>
          </c:extLst>
        </c:ser>
        <c:ser>
          <c:idx val="1"/>
          <c:order val="1"/>
          <c:tx>
            <c:strRef>
              <c:f>pivots!$C$48:$C$49</c:f>
              <c:strCache>
                <c:ptCount val="1"/>
                <c:pt idx="0">
                  <c:v>Male</c:v>
                </c:pt>
              </c:strCache>
            </c:strRef>
          </c:tx>
          <c:spPr>
            <a:solidFill>
              <a:schemeClr val="accent5">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solidFill>
                <a:schemeClr val="accent5">
                  <a:lumMod val="60000"/>
                  <a:lumOff val="40000"/>
                </a:schemeClr>
              </a:solidFill>
              <a:ln>
                <a:solidFill>
                  <a:schemeClr val="bg1">
                    <a:alpha val="50000"/>
                  </a:schemeClr>
                </a:solidFill>
              </a:ln>
              <a:effectLst/>
            </c:spPr>
            <c:txPr>
              <a:bodyPr rot="0" spcFirstLastPara="1" vertOverflow="clip" horzOverflow="clip" vert="horz" wrap="square" lIns="36576" tIns="18288" rIns="36576" bIns="18288"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pivots!$A$50:$A$53</c:f>
              <c:strCache>
                <c:ptCount val="3"/>
                <c:pt idx="0">
                  <c:v>Cincinnati</c:v>
                </c:pt>
                <c:pt idx="1">
                  <c:v>Cleveland</c:v>
                </c:pt>
                <c:pt idx="2">
                  <c:v>Columbus</c:v>
                </c:pt>
              </c:strCache>
            </c:strRef>
          </c:cat>
          <c:val>
            <c:numRef>
              <c:f>pivots!$C$50:$C$53</c:f>
              <c:numCache>
                <c:formatCode>#,##0</c:formatCode>
                <c:ptCount val="3"/>
                <c:pt idx="0">
                  <c:v>132</c:v>
                </c:pt>
                <c:pt idx="1">
                  <c:v>63</c:v>
                </c:pt>
                <c:pt idx="2">
                  <c:v>206</c:v>
                </c:pt>
              </c:numCache>
            </c:numRef>
          </c:val>
          <c:extLst>
            <c:ext xmlns:c16="http://schemas.microsoft.com/office/drawing/2014/chart" uri="{C3380CC4-5D6E-409C-BE32-E72D297353CC}">
              <c16:uniqueId val="{00000001-DE0B-41A4-AD6C-91A9B0DF4C87}"/>
            </c:ext>
          </c:extLst>
        </c:ser>
        <c:dLbls>
          <c:dLblPos val="ctr"/>
          <c:showLegendKey val="0"/>
          <c:showVal val="1"/>
          <c:showCatName val="0"/>
          <c:showSerName val="0"/>
          <c:showPercent val="0"/>
          <c:showBubbleSize val="0"/>
        </c:dLbls>
        <c:gapWidth val="25"/>
        <c:overlap val="100"/>
        <c:axId val="1945630159"/>
        <c:axId val="1699674575"/>
      </c:barChart>
      <c:catAx>
        <c:axId val="19456301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674575"/>
        <c:crosses val="autoZero"/>
        <c:auto val="1"/>
        <c:lblAlgn val="ctr"/>
        <c:lblOffset val="100"/>
        <c:noMultiLvlLbl val="0"/>
      </c:catAx>
      <c:valAx>
        <c:axId val="1699674575"/>
        <c:scaling>
          <c:orientation val="minMax"/>
        </c:scaling>
        <c:delete val="1"/>
        <c:axPos val="l"/>
        <c:numFmt formatCode="0%" sourceLinked="1"/>
        <c:majorTickMark val="out"/>
        <c:minorTickMark val="none"/>
        <c:tickLblPos val="nextTo"/>
        <c:crossAx val="194563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project.xlsx]pivots!rating</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2">
                    <a:lumMod val="50000"/>
                  </a:schemeClr>
                </a:solidFill>
                <a:latin typeface="+mj-lt"/>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pivots!$B$56</c:f>
              <c:strCache>
                <c:ptCount val="1"/>
                <c:pt idx="0">
                  <c:v>Total</c:v>
                </c:pt>
              </c:strCache>
            </c:strRef>
          </c:tx>
          <c:spPr>
            <a:solidFill>
              <a:schemeClr val="bg2">
                <a:lumMod val="75000"/>
              </a:schemeClr>
            </a:solidFill>
            <a:ln>
              <a:noFill/>
            </a:ln>
            <a:effectLst/>
          </c:spPr>
          <c:invertIfNegative val="0"/>
          <c:cat>
            <c:strRef>
              <c:f>pivots!$A$57:$A$63</c:f>
              <c:strCache>
                <c:ptCount val="6"/>
                <c:pt idx="0">
                  <c:v>0</c:v>
                </c:pt>
                <c:pt idx="1">
                  <c:v>1</c:v>
                </c:pt>
                <c:pt idx="2">
                  <c:v>2</c:v>
                </c:pt>
                <c:pt idx="3">
                  <c:v>3</c:v>
                </c:pt>
                <c:pt idx="4">
                  <c:v>4</c:v>
                </c:pt>
                <c:pt idx="5">
                  <c:v>5</c:v>
                </c:pt>
              </c:strCache>
            </c:strRef>
          </c:cat>
          <c:val>
            <c:numRef>
              <c:f>pivots!$B$57:$B$63</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35DF-4CD4-BEBC-E73942D226F6}"/>
            </c:ext>
          </c:extLst>
        </c:ser>
        <c:dLbls>
          <c:showLegendKey val="0"/>
          <c:showVal val="0"/>
          <c:showCatName val="0"/>
          <c:showSerName val="0"/>
          <c:showPercent val="0"/>
          <c:showBubbleSize val="0"/>
        </c:dLbls>
        <c:gapWidth val="25"/>
        <c:overlap val="-27"/>
        <c:axId val="1927934463"/>
        <c:axId val="1965392783"/>
      </c:barChart>
      <c:catAx>
        <c:axId val="1927934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392783"/>
        <c:crosses val="autoZero"/>
        <c:auto val="1"/>
        <c:lblAlgn val="ctr"/>
        <c:lblOffset val="100"/>
        <c:noMultiLvlLbl val="0"/>
      </c:catAx>
      <c:valAx>
        <c:axId val="19653927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93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sv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5.svg"/><Relationship Id="rId13" Type="http://schemas.openxmlformats.org/officeDocument/2006/relationships/chart" Target="../charts/chart3.xml"/><Relationship Id="rId3" Type="http://schemas.openxmlformats.org/officeDocument/2006/relationships/image" Target="../media/image20.png"/><Relationship Id="rId7" Type="http://schemas.openxmlformats.org/officeDocument/2006/relationships/image" Target="../media/image24.png"/><Relationship Id="rId12" Type="http://schemas.openxmlformats.org/officeDocument/2006/relationships/chart" Target="../charts/chart2.xml"/><Relationship Id="rId2" Type="http://schemas.openxmlformats.org/officeDocument/2006/relationships/image" Target="../media/image19.svg"/><Relationship Id="rId16" Type="http://schemas.openxmlformats.org/officeDocument/2006/relationships/chart" Target="../charts/chart6.xml"/><Relationship Id="rId1" Type="http://schemas.openxmlformats.org/officeDocument/2006/relationships/image" Target="../media/image18.png"/><Relationship Id="rId6" Type="http://schemas.openxmlformats.org/officeDocument/2006/relationships/image" Target="../media/image23.svg"/><Relationship Id="rId11" Type="http://schemas.openxmlformats.org/officeDocument/2006/relationships/chart" Target="../charts/chart1.xml"/><Relationship Id="rId5" Type="http://schemas.openxmlformats.org/officeDocument/2006/relationships/image" Target="../media/image22.png"/><Relationship Id="rId15" Type="http://schemas.openxmlformats.org/officeDocument/2006/relationships/chart" Target="../charts/chart5.xml"/><Relationship Id="rId10" Type="http://schemas.openxmlformats.org/officeDocument/2006/relationships/image" Target="../media/image27.svg"/><Relationship Id="rId4" Type="http://schemas.openxmlformats.org/officeDocument/2006/relationships/image" Target="../media/image21.svg"/><Relationship Id="rId9" Type="http://schemas.openxmlformats.org/officeDocument/2006/relationships/image" Target="../media/image26.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30480</xdr:colOff>
      <xdr:row>19</xdr:row>
      <xdr:rowOff>38100</xdr:rowOff>
    </xdr:from>
    <xdr:to>
      <xdr:col>14</xdr:col>
      <xdr:colOff>358140</xdr:colOff>
      <xdr:row>35</xdr:row>
      <xdr:rowOff>15240</xdr:rowOff>
    </xdr:to>
    <xdr:sp macro="" textlink="">
      <xdr:nvSpPr>
        <xdr:cNvPr id="41" name="Rectangle 40">
          <a:extLst>
            <a:ext uri="{FF2B5EF4-FFF2-40B4-BE49-F238E27FC236}">
              <a16:creationId xmlns:a16="http://schemas.microsoft.com/office/drawing/2014/main" id="{2F6320F4-03FA-FBC5-08D3-97CF24076CA2}"/>
            </a:ext>
          </a:extLst>
        </xdr:cNvPr>
        <xdr:cNvSpPr/>
      </xdr:nvSpPr>
      <xdr:spPr>
        <a:xfrm>
          <a:off x="2202180" y="3512820"/>
          <a:ext cx="5928360" cy="29032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15240</xdr:colOff>
      <xdr:row>2</xdr:row>
      <xdr:rowOff>129540</xdr:rowOff>
    </xdr:from>
    <xdr:to>
      <xdr:col>4</xdr:col>
      <xdr:colOff>15240</xdr:colOff>
      <xdr:row>7</xdr:row>
      <xdr:rowOff>114300</xdr:rowOff>
    </xdr:to>
    <xdr:sp macro="" textlink="pivots!A4">
      <xdr:nvSpPr>
        <xdr:cNvPr id="2" name="Rectangle 1">
          <a:extLst>
            <a:ext uri="{FF2B5EF4-FFF2-40B4-BE49-F238E27FC236}">
              <a16:creationId xmlns:a16="http://schemas.microsoft.com/office/drawing/2014/main" id="{B16A7C45-5EF4-6D1B-18D3-19E8116F1AEF}"/>
            </a:ext>
          </a:extLst>
        </xdr:cNvPr>
        <xdr:cNvSpPr/>
      </xdr:nvSpPr>
      <xdr:spPr>
        <a:xfrm>
          <a:off x="541020" y="495300"/>
          <a:ext cx="1341120" cy="899160"/>
        </a:xfrm>
        <a:prstGeom prst="rect">
          <a:avLst/>
        </a:prstGeom>
        <a:solidFill>
          <a:schemeClr val="accent5"/>
        </a:solidFill>
        <a:ln>
          <a:noFill/>
        </a:ln>
        <a:effectLst>
          <a:outerShdw blurRad="254000" dist="38100" dir="18900000" algn="bl" rotWithShape="0">
            <a:prstClr val="black">
              <a:alpha val="4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CB4182C-7A63-4BAA-9BF4-CA5A601FC4BA}" type="TxLink">
            <a:rPr lang="en-US" sz="2800" b="0" i="0" u="none" strike="noStrike">
              <a:solidFill>
                <a:schemeClr val="bg1"/>
              </a:solidFill>
              <a:latin typeface="+mj-lt"/>
            </a:rPr>
            <a:pPr algn="ctr"/>
            <a:t>1,000</a:t>
          </a:fld>
          <a:endParaRPr lang="en-IN" sz="2800">
            <a:solidFill>
              <a:schemeClr val="bg1"/>
            </a:solidFill>
            <a:latin typeface="+mj-lt"/>
          </a:endParaRPr>
        </a:p>
      </xdr:txBody>
    </xdr:sp>
    <xdr:clientData/>
  </xdr:twoCellAnchor>
  <xdr:oneCellAnchor>
    <xdr:from>
      <xdr:col>2</xdr:col>
      <xdr:colOff>423090</xdr:colOff>
      <xdr:row>2</xdr:row>
      <xdr:rowOff>114300</xdr:rowOff>
    </xdr:from>
    <xdr:ext cx="606384" cy="328295"/>
    <xdr:sp macro="" textlink="">
      <xdr:nvSpPr>
        <xdr:cNvPr id="4" name="TextBox 3">
          <a:extLst>
            <a:ext uri="{FF2B5EF4-FFF2-40B4-BE49-F238E27FC236}">
              <a16:creationId xmlns:a16="http://schemas.microsoft.com/office/drawing/2014/main" id="{1E3FE316-C41D-2258-F135-4AD136687F5F}"/>
            </a:ext>
          </a:extLst>
        </xdr:cNvPr>
        <xdr:cNvSpPr txBox="1"/>
      </xdr:nvSpPr>
      <xdr:spPr>
        <a:xfrm>
          <a:off x="948870" y="480060"/>
          <a:ext cx="606384"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lang="en-IN" sz="1600">
              <a:solidFill>
                <a:schemeClr val="bg1"/>
              </a:solidFill>
              <a:latin typeface="Times New Roman" panose="02020603050405020304" pitchFamily="18" charset="0"/>
              <a:cs typeface="Times New Roman" panose="02020603050405020304" pitchFamily="18" charset="0"/>
            </a:rPr>
            <a:t>Calls</a:t>
          </a:r>
        </a:p>
      </xdr:txBody>
    </xdr:sp>
    <xdr:clientData/>
  </xdr:oneCellAnchor>
  <xdr:twoCellAnchor editAs="oneCell">
    <xdr:from>
      <xdr:col>2</xdr:col>
      <xdr:colOff>131108</xdr:colOff>
      <xdr:row>2</xdr:row>
      <xdr:rowOff>158500</xdr:rowOff>
    </xdr:from>
    <xdr:to>
      <xdr:col>2</xdr:col>
      <xdr:colOff>424930</xdr:colOff>
      <xdr:row>4</xdr:row>
      <xdr:rowOff>79434</xdr:rowOff>
    </xdr:to>
    <xdr:pic>
      <xdr:nvPicPr>
        <xdr:cNvPr id="5" name="Graphic 4" descr="Receiver with solid fill">
          <a:extLst>
            <a:ext uri="{FF2B5EF4-FFF2-40B4-BE49-F238E27FC236}">
              <a16:creationId xmlns:a16="http://schemas.microsoft.com/office/drawing/2014/main" id="{BBCCEDD9-DDCE-4778-AF71-79EC3C6A864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89662">
          <a:off x="656888" y="524260"/>
          <a:ext cx="293822" cy="286694"/>
        </a:xfrm>
        <a:prstGeom prst="rect">
          <a:avLst/>
        </a:prstGeom>
      </xdr:spPr>
    </xdr:pic>
    <xdr:clientData/>
  </xdr:twoCellAnchor>
  <xdr:oneCellAnchor>
    <xdr:from>
      <xdr:col>2</xdr:col>
      <xdr:colOff>358140</xdr:colOff>
      <xdr:row>6</xdr:row>
      <xdr:rowOff>15240</xdr:rowOff>
    </xdr:from>
    <xdr:ext cx="701040" cy="264560"/>
    <xdr:sp macro="" textlink="pivots!A10">
      <xdr:nvSpPr>
        <xdr:cNvPr id="6" name="TextBox 5">
          <a:extLst>
            <a:ext uri="{FF2B5EF4-FFF2-40B4-BE49-F238E27FC236}">
              <a16:creationId xmlns:a16="http://schemas.microsoft.com/office/drawing/2014/main" id="{32F0D463-4C29-DD47-D896-D2768B0E69B1}"/>
            </a:ext>
          </a:extLst>
        </xdr:cNvPr>
        <xdr:cNvSpPr txBox="1"/>
      </xdr:nvSpPr>
      <xdr:spPr>
        <a:xfrm>
          <a:off x="883920" y="1112520"/>
          <a:ext cx="7010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E4B5951D-ED5B-400D-907E-81A705ED2FC3}" type="TxLink">
            <a:rPr lang="en-US" sz="1100" b="0" i="0" u="none" strike="noStrike">
              <a:solidFill>
                <a:schemeClr val="bg1"/>
              </a:solidFill>
              <a:latin typeface="Aptos"/>
            </a:rPr>
            <a:pPr algn="ctr"/>
            <a:t>207</a:t>
          </a:fld>
          <a:endParaRPr lang="en-IN" sz="1100">
            <a:solidFill>
              <a:schemeClr val="bg1"/>
            </a:solidFill>
          </a:endParaRPr>
        </a:p>
      </xdr:txBody>
    </xdr:sp>
    <xdr:clientData/>
  </xdr:oneCellAnchor>
  <xdr:twoCellAnchor>
    <xdr:from>
      <xdr:col>2</xdr:col>
      <xdr:colOff>0</xdr:colOff>
      <xdr:row>10</xdr:row>
      <xdr:rowOff>15240</xdr:rowOff>
    </xdr:from>
    <xdr:to>
      <xdr:col>4</xdr:col>
      <xdr:colOff>0</xdr:colOff>
      <xdr:row>15</xdr:row>
      <xdr:rowOff>0</xdr:rowOff>
    </xdr:to>
    <xdr:sp macro="" textlink="pivots!B4">
      <xdr:nvSpPr>
        <xdr:cNvPr id="11" name="Rectangle 10">
          <a:extLst>
            <a:ext uri="{FF2B5EF4-FFF2-40B4-BE49-F238E27FC236}">
              <a16:creationId xmlns:a16="http://schemas.microsoft.com/office/drawing/2014/main" id="{941F706C-0971-4A23-8475-F0214AD996B2}"/>
            </a:ext>
          </a:extLst>
        </xdr:cNvPr>
        <xdr:cNvSpPr/>
      </xdr:nvSpPr>
      <xdr:spPr>
        <a:xfrm>
          <a:off x="525780" y="1844040"/>
          <a:ext cx="1341120" cy="899160"/>
        </a:xfrm>
        <a:prstGeom prst="rect">
          <a:avLst/>
        </a:prstGeom>
        <a:solidFill>
          <a:schemeClr val="accent5"/>
        </a:solidFill>
        <a:ln>
          <a:noFill/>
        </a:ln>
        <a:effectLst>
          <a:outerShdw blurRad="254000" dist="38100" dir="18900000" algn="bl" rotWithShape="0">
            <a:prstClr val="black">
              <a:alpha val="4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56EC04C-4EE8-42D5-A924-9B933C99B32D}" type="TxLink">
            <a:rPr lang="en-US" sz="2800" b="0" i="0" u="none" strike="noStrike">
              <a:solidFill>
                <a:schemeClr val="bg1"/>
              </a:solidFill>
              <a:latin typeface="+mj-lt"/>
            </a:rPr>
            <a:pPr algn="ctr"/>
            <a:t>$96,623</a:t>
          </a:fld>
          <a:endParaRPr lang="en-IN" sz="2800">
            <a:solidFill>
              <a:schemeClr val="bg1"/>
            </a:solidFill>
            <a:latin typeface="+mj-lt"/>
          </a:endParaRPr>
        </a:p>
      </xdr:txBody>
    </xdr:sp>
    <xdr:clientData/>
  </xdr:twoCellAnchor>
  <xdr:oneCellAnchor>
    <xdr:from>
      <xdr:col>2</xdr:col>
      <xdr:colOff>401094</xdr:colOff>
      <xdr:row>10</xdr:row>
      <xdr:rowOff>7620</xdr:rowOff>
    </xdr:from>
    <xdr:ext cx="773160" cy="298800"/>
    <xdr:sp macro="" textlink="">
      <xdr:nvSpPr>
        <xdr:cNvPr id="12" name="TextBox 11">
          <a:extLst>
            <a:ext uri="{FF2B5EF4-FFF2-40B4-BE49-F238E27FC236}">
              <a16:creationId xmlns:a16="http://schemas.microsoft.com/office/drawing/2014/main" id="{4A95300F-0F43-4FF9-8AD5-951110B124A7}"/>
            </a:ext>
          </a:extLst>
        </xdr:cNvPr>
        <xdr:cNvSpPr txBox="1"/>
      </xdr:nvSpPr>
      <xdr:spPr>
        <a:xfrm>
          <a:off x="926874" y="1836420"/>
          <a:ext cx="77316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lang="en-IN" sz="1400">
              <a:solidFill>
                <a:schemeClr val="bg1"/>
              </a:solidFill>
              <a:latin typeface="Times New Roman" panose="02020603050405020304" pitchFamily="18" charset="0"/>
              <a:cs typeface="Times New Roman" panose="02020603050405020304" pitchFamily="18" charset="0"/>
            </a:rPr>
            <a:t>Amount</a:t>
          </a:r>
        </a:p>
      </xdr:txBody>
    </xdr:sp>
    <xdr:clientData/>
  </xdr:oneCellAnchor>
  <xdr:oneCellAnchor>
    <xdr:from>
      <xdr:col>2</xdr:col>
      <xdr:colOff>342900</xdr:colOff>
      <xdr:row>13</xdr:row>
      <xdr:rowOff>83820</xdr:rowOff>
    </xdr:from>
    <xdr:ext cx="701040" cy="264560"/>
    <xdr:sp macro="" textlink="pivots!B10">
      <xdr:nvSpPr>
        <xdr:cNvPr id="14" name="TextBox 13">
          <a:extLst>
            <a:ext uri="{FF2B5EF4-FFF2-40B4-BE49-F238E27FC236}">
              <a16:creationId xmlns:a16="http://schemas.microsoft.com/office/drawing/2014/main" id="{365E8861-8DA8-4322-9F8D-1E4C44A1CE9C}"/>
            </a:ext>
          </a:extLst>
        </xdr:cNvPr>
        <xdr:cNvSpPr txBox="1"/>
      </xdr:nvSpPr>
      <xdr:spPr>
        <a:xfrm>
          <a:off x="868680" y="2461260"/>
          <a:ext cx="7010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9DCBEC05-BEF4-4740-B095-670E810B08C9}" type="TxLink">
            <a:rPr lang="en-US" sz="1100" b="0" i="0" u="none" strike="noStrike">
              <a:solidFill>
                <a:schemeClr val="bg1"/>
              </a:solidFill>
              <a:latin typeface="Aptos"/>
            </a:rPr>
            <a:pPr algn="ctr"/>
            <a:t>$20,872</a:t>
          </a:fld>
          <a:endParaRPr lang="en-IN" sz="1100">
            <a:solidFill>
              <a:schemeClr val="bg1"/>
            </a:solidFill>
          </a:endParaRPr>
        </a:p>
      </xdr:txBody>
    </xdr:sp>
    <xdr:clientData/>
  </xdr:oneCellAnchor>
  <xdr:twoCellAnchor>
    <xdr:from>
      <xdr:col>2</xdr:col>
      <xdr:colOff>15240</xdr:colOff>
      <xdr:row>17</xdr:row>
      <xdr:rowOff>15240</xdr:rowOff>
    </xdr:from>
    <xdr:to>
      <xdr:col>4</xdr:col>
      <xdr:colOff>15240</xdr:colOff>
      <xdr:row>22</xdr:row>
      <xdr:rowOff>0</xdr:rowOff>
    </xdr:to>
    <xdr:sp macro="" textlink="pivots!C4">
      <xdr:nvSpPr>
        <xdr:cNvPr id="15" name="Rectangle 14">
          <a:extLst>
            <a:ext uri="{FF2B5EF4-FFF2-40B4-BE49-F238E27FC236}">
              <a16:creationId xmlns:a16="http://schemas.microsoft.com/office/drawing/2014/main" id="{7B4482F7-81B0-4D0A-956C-91A319FEACEA}"/>
            </a:ext>
          </a:extLst>
        </xdr:cNvPr>
        <xdr:cNvSpPr/>
      </xdr:nvSpPr>
      <xdr:spPr>
        <a:xfrm>
          <a:off x="541020" y="3124200"/>
          <a:ext cx="1341120" cy="899160"/>
        </a:xfrm>
        <a:prstGeom prst="rect">
          <a:avLst/>
        </a:prstGeom>
        <a:solidFill>
          <a:schemeClr val="accent5"/>
        </a:solidFill>
        <a:ln>
          <a:noFill/>
        </a:ln>
        <a:effectLst>
          <a:outerShdw blurRad="254000" dist="38100" dir="18900000" algn="bl" rotWithShape="0">
            <a:prstClr val="black">
              <a:alpha val="4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9592F42-824F-4185-A581-C85F45672574}" type="TxLink">
            <a:rPr lang="en-US" sz="2800" b="0" i="0" u="none" strike="noStrike">
              <a:solidFill>
                <a:schemeClr val="bg1"/>
              </a:solidFill>
              <a:latin typeface="+mj-lt"/>
            </a:rPr>
            <a:pPr algn="ctr"/>
            <a:t>89,850</a:t>
          </a:fld>
          <a:endParaRPr lang="en-IN" sz="2800">
            <a:solidFill>
              <a:schemeClr val="bg1"/>
            </a:solidFill>
            <a:latin typeface="+mj-lt"/>
          </a:endParaRPr>
        </a:p>
      </xdr:txBody>
    </xdr:sp>
    <xdr:clientData/>
  </xdr:twoCellAnchor>
  <xdr:oneCellAnchor>
    <xdr:from>
      <xdr:col>2</xdr:col>
      <xdr:colOff>419981</xdr:colOff>
      <xdr:row>17</xdr:row>
      <xdr:rowOff>0</xdr:rowOff>
    </xdr:from>
    <xdr:ext cx="822853" cy="298800"/>
    <xdr:sp macro="" textlink="">
      <xdr:nvSpPr>
        <xdr:cNvPr id="16" name="TextBox 15">
          <a:extLst>
            <a:ext uri="{FF2B5EF4-FFF2-40B4-BE49-F238E27FC236}">
              <a16:creationId xmlns:a16="http://schemas.microsoft.com/office/drawing/2014/main" id="{7B58BF7A-6DCC-4857-8976-E77BCAC4F88D}"/>
            </a:ext>
          </a:extLst>
        </xdr:cNvPr>
        <xdr:cNvSpPr txBox="1"/>
      </xdr:nvSpPr>
      <xdr:spPr>
        <a:xfrm>
          <a:off x="945761" y="3108960"/>
          <a:ext cx="822853"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lang="en-IN" sz="1400">
              <a:solidFill>
                <a:schemeClr val="bg1"/>
              </a:solidFill>
              <a:latin typeface="Times New Roman" panose="02020603050405020304" pitchFamily="18" charset="0"/>
              <a:cs typeface="Times New Roman" panose="02020603050405020304" pitchFamily="18" charset="0"/>
            </a:rPr>
            <a:t>Duration</a:t>
          </a:r>
        </a:p>
      </xdr:txBody>
    </xdr:sp>
    <xdr:clientData/>
  </xdr:oneCellAnchor>
  <xdr:oneCellAnchor>
    <xdr:from>
      <xdr:col>2</xdr:col>
      <xdr:colOff>342900</xdr:colOff>
      <xdr:row>20</xdr:row>
      <xdr:rowOff>83820</xdr:rowOff>
    </xdr:from>
    <xdr:ext cx="701040" cy="264560"/>
    <xdr:sp macro="" textlink="pivots!C10">
      <xdr:nvSpPr>
        <xdr:cNvPr id="18" name="TextBox 17">
          <a:extLst>
            <a:ext uri="{FF2B5EF4-FFF2-40B4-BE49-F238E27FC236}">
              <a16:creationId xmlns:a16="http://schemas.microsoft.com/office/drawing/2014/main" id="{F27CA0AD-350E-4531-9796-449E11504266}"/>
            </a:ext>
          </a:extLst>
        </xdr:cNvPr>
        <xdr:cNvSpPr txBox="1"/>
      </xdr:nvSpPr>
      <xdr:spPr>
        <a:xfrm>
          <a:off x="868680" y="3741420"/>
          <a:ext cx="7010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B21BD93F-2182-4C33-87DD-03097B292B47}" type="TxLink">
            <a:rPr lang="en-US" sz="1100" b="0" i="0" u="none" strike="noStrike">
              <a:solidFill>
                <a:schemeClr val="bg1"/>
              </a:solidFill>
              <a:latin typeface="Aptos"/>
            </a:rPr>
            <a:pPr algn="ctr"/>
            <a:t>17,700</a:t>
          </a:fld>
          <a:endParaRPr lang="en-IN" sz="1100">
            <a:solidFill>
              <a:schemeClr val="bg1"/>
            </a:solidFill>
          </a:endParaRPr>
        </a:p>
      </xdr:txBody>
    </xdr:sp>
    <xdr:clientData/>
  </xdr:oneCellAnchor>
  <xdr:twoCellAnchor>
    <xdr:from>
      <xdr:col>2</xdr:col>
      <xdr:colOff>38100</xdr:colOff>
      <xdr:row>24</xdr:row>
      <xdr:rowOff>30480</xdr:rowOff>
    </xdr:from>
    <xdr:to>
      <xdr:col>4</xdr:col>
      <xdr:colOff>38100</xdr:colOff>
      <xdr:row>29</xdr:row>
      <xdr:rowOff>15240</xdr:rowOff>
    </xdr:to>
    <xdr:sp macro="" textlink="pivots!D4">
      <xdr:nvSpPr>
        <xdr:cNvPr id="23" name="Rectangle 22">
          <a:extLst>
            <a:ext uri="{FF2B5EF4-FFF2-40B4-BE49-F238E27FC236}">
              <a16:creationId xmlns:a16="http://schemas.microsoft.com/office/drawing/2014/main" id="{AB51F4A5-E760-40CC-968A-D39C7C377A14}"/>
            </a:ext>
          </a:extLst>
        </xdr:cNvPr>
        <xdr:cNvSpPr/>
      </xdr:nvSpPr>
      <xdr:spPr>
        <a:xfrm>
          <a:off x="563880" y="4419600"/>
          <a:ext cx="1341120" cy="899160"/>
        </a:xfrm>
        <a:prstGeom prst="rect">
          <a:avLst/>
        </a:prstGeom>
        <a:solidFill>
          <a:schemeClr val="accent5"/>
        </a:solidFill>
        <a:ln>
          <a:noFill/>
        </a:ln>
        <a:effectLst>
          <a:outerShdw blurRad="254000" dist="38100" dir="18900000" algn="bl" rotWithShape="0">
            <a:prstClr val="black">
              <a:alpha val="4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EA9D11E-2281-4FC8-BE56-6F012A5B9D3A}" type="TxLink">
            <a:rPr lang="en-US" sz="2800" b="0" i="0" u="none" strike="noStrike">
              <a:solidFill>
                <a:schemeClr val="bg1"/>
              </a:solidFill>
              <a:latin typeface="+mj-lt"/>
            </a:rPr>
            <a:pPr algn="ctr"/>
            <a:t>3.9</a:t>
          </a:fld>
          <a:endParaRPr lang="en-IN" sz="2800">
            <a:solidFill>
              <a:schemeClr val="bg1"/>
            </a:solidFill>
            <a:latin typeface="+mj-lt"/>
          </a:endParaRPr>
        </a:p>
      </xdr:txBody>
    </xdr:sp>
    <xdr:clientData/>
  </xdr:twoCellAnchor>
  <xdr:oneCellAnchor>
    <xdr:from>
      <xdr:col>2</xdr:col>
      <xdr:colOff>289313</xdr:colOff>
      <xdr:row>23</xdr:row>
      <xdr:rowOff>152400</xdr:rowOff>
    </xdr:from>
    <xdr:ext cx="1136401" cy="328295"/>
    <xdr:sp macro="" textlink="">
      <xdr:nvSpPr>
        <xdr:cNvPr id="24" name="TextBox 23">
          <a:extLst>
            <a:ext uri="{FF2B5EF4-FFF2-40B4-BE49-F238E27FC236}">
              <a16:creationId xmlns:a16="http://schemas.microsoft.com/office/drawing/2014/main" id="{1AD1BF4B-C20E-425A-87CF-A57B7140D710}"/>
            </a:ext>
          </a:extLst>
        </xdr:cNvPr>
        <xdr:cNvSpPr txBox="1"/>
      </xdr:nvSpPr>
      <xdr:spPr>
        <a:xfrm>
          <a:off x="815093" y="4358640"/>
          <a:ext cx="1136401"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lang="en-IN" sz="1600">
              <a:solidFill>
                <a:schemeClr val="bg1"/>
              </a:solidFill>
              <a:latin typeface="Times New Roman" panose="02020603050405020304" pitchFamily="18" charset="0"/>
              <a:cs typeface="Times New Roman" panose="02020603050405020304" pitchFamily="18" charset="0"/>
            </a:rPr>
            <a:t>Avg</a:t>
          </a:r>
          <a:r>
            <a:rPr lang="en-IN" sz="1600" baseline="0">
              <a:solidFill>
                <a:schemeClr val="bg1"/>
              </a:solidFill>
              <a:latin typeface="Times New Roman" panose="02020603050405020304" pitchFamily="18" charset="0"/>
              <a:cs typeface="Times New Roman" panose="02020603050405020304" pitchFamily="18" charset="0"/>
            </a:rPr>
            <a:t> Rating</a:t>
          </a:r>
          <a:endParaRPr lang="en-IN" sz="1600">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2</xdr:col>
      <xdr:colOff>342900</xdr:colOff>
      <xdr:row>27</xdr:row>
      <xdr:rowOff>83820</xdr:rowOff>
    </xdr:from>
    <xdr:ext cx="701040" cy="264560"/>
    <xdr:sp macro="" textlink="pivots!D10">
      <xdr:nvSpPr>
        <xdr:cNvPr id="26" name="TextBox 25">
          <a:extLst>
            <a:ext uri="{FF2B5EF4-FFF2-40B4-BE49-F238E27FC236}">
              <a16:creationId xmlns:a16="http://schemas.microsoft.com/office/drawing/2014/main" id="{19AF8F7B-D94B-4F4A-BCEC-33E04CEFD062}"/>
            </a:ext>
          </a:extLst>
        </xdr:cNvPr>
        <xdr:cNvSpPr txBox="1"/>
      </xdr:nvSpPr>
      <xdr:spPr>
        <a:xfrm>
          <a:off x="868680" y="5021580"/>
          <a:ext cx="7010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EE70A723-055D-4A4B-8A6D-312930A91987}" type="TxLink">
            <a:rPr lang="en-US" sz="1100" b="0" i="0" u="none" strike="noStrike">
              <a:solidFill>
                <a:schemeClr val="bg1"/>
              </a:solidFill>
              <a:latin typeface="Aptos"/>
            </a:rPr>
            <a:pPr algn="ctr"/>
            <a:t>3.9</a:t>
          </a:fld>
          <a:endParaRPr lang="en-IN" sz="1100">
            <a:solidFill>
              <a:schemeClr val="bg1"/>
            </a:solidFill>
          </a:endParaRPr>
        </a:p>
      </xdr:txBody>
    </xdr:sp>
    <xdr:clientData/>
  </xdr:oneCellAnchor>
  <xdr:twoCellAnchor>
    <xdr:from>
      <xdr:col>1</xdr:col>
      <xdr:colOff>251460</xdr:colOff>
      <xdr:row>30</xdr:row>
      <xdr:rowOff>167640</xdr:rowOff>
    </xdr:from>
    <xdr:to>
      <xdr:col>3</xdr:col>
      <xdr:colOff>647700</xdr:colOff>
      <xdr:row>35</xdr:row>
      <xdr:rowOff>152400</xdr:rowOff>
    </xdr:to>
    <xdr:sp macro="" textlink="pivots!E4">
      <xdr:nvSpPr>
        <xdr:cNvPr id="27" name="Rectangle 26">
          <a:extLst>
            <a:ext uri="{FF2B5EF4-FFF2-40B4-BE49-F238E27FC236}">
              <a16:creationId xmlns:a16="http://schemas.microsoft.com/office/drawing/2014/main" id="{F63E711E-1734-4139-AE7D-A2DE6F9DED0C}"/>
            </a:ext>
          </a:extLst>
        </xdr:cNvPr>
        <xdr:cNvSpPr/>
      </xdr:nvSpPr>
      <xdr:spPr>
        <a:xfrm>
          <a:off x="502920" y="5654040"/>
          <a:ext cx="1341120" cy="899160"/>
        </a:xfrm>
        <a:prstGeom prst="rect">
          <a:avLst/>
        </a:prstGeom>
        <a:solidFill>
          <a:schemeClr val="accent5"/>
        </a:solidFill>
        <a:ln>
          <a:noFill/>
        </a:ln>
        <a:effectLst>
          <a:outerShdw blurRad="254000" dist="38100" dir="18900000" algn="bl" rotWithShape="0">
            <a:prstClr val="black">
              <a:alpha val="4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06DBF32-186E-4744-9FF3-9E0B7186C576}" type="TxLink">
            <a:rPr lang="en-US" sz="2800" b="0" i="0" u="none" strike="noStrike">
              <a:solidFill>
                <a:schemeClr val="bg1"/>
              </a:solidFill>
              <a:latin typeface="+mj-lt"/>
            </a:rPr>
            <a:pPr algn="ctr"/>
            <a:t>307</a:t>
          </a:fld>
          <a:endParaRPr lang="en-IN" sz="2800">
            <a:solidFill>
              <a:schemeClr val="bg1"/>
            </a:solidFill>
            <a:latin typeface="+mj-lt"/>
          </a:endParaRPr>
        </a:p>
      </xdr:txBody>
    </xdr:sp>
    <xdr:clientData/>
  </xdr:twoCellAnchor>
  <xdr:oneCellAnchor>
    <xdr:from>
      <xdr:col>2</xdr:col>
      <xdr:colOff>91875</xdr:colOff>
      <xdr:row>30</xdr:row>
      <xdr:rowOff>144780</xdr:rowOff>
    </xdr:from>
    <xdr:ext cx="1295739" cy="328295"/>
    <xdr:sp macro="" textlink="">
      <xdr:nvSpPr>
        <xdr:cNvPr id="28" name="TextBox 27">
          <a:extLst>
            <a:ext uri="{FF2B5EF4-FFF2-40B4-BE49-F238E27FC236}">
              <a16:creationId xmlns:a16="http://schemas.microsoft.com/office/drawing/2014/main" id="{6BF4518F-7332-4C32-9E49-2AA4EB5DDBA1}"/>
            </a:ext>
          </a:extLst>
        </xdr:cNvPr>
        <xdr:cNvSpPr txBox="1"/>
      </xdr:nvSpPr>
      <xdr:spPr>
        <a:xfrm>
          <a:off x="617655" y="5631180"/>
          <a:ext cx="1295739"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lang="en-IN" sz="1400">
              <a:solidFill>
                <a:schemeClr val="bg1"/>
              </a:solidFill>
              <a:latin typeface="Times New Roman" panose="02020603050405020304" pitchFamily="18" charset="0"/>
              <a:cs typeface="Times New Roman" panose="02020603050405020304" pitchFamily="18" charset="0"/>
            </a:rPr>
            <a:t>Happy</a:t>
          </a:r>
          <a:r>
            <a:rPr lang="en-IN" sz="1600" baseline="0">
              <a:solidFill>
                <a:schemeClr val="bg1"/>
              </a:solidFill>
              <a:latin typeface="Times New Roman" panose="02020603050405020304" pitchFamily="18" charset="0"/>
              <a:cs typeface="Times New Roman" panose="02020603050405020304" pitchFamily="18" charset="0"/>
            </a:rPr>
            <a:t> </a:t>
          </a:r>
          <a:r>
            <a:rPr lang="en-IN" sz="1600">
              <a:solidFill>
                <a:schemeClr val="bg1"/>
              </a:solidFill>
              <a:latin typeface="Times New Roman" panose="02020603050405020304" pitchFamily="18" charset="0"/>
              <a:cs typeface="Times New Roman" panose="02020603050405020304" pitchFamily="18" charset="0"/>
            </a:rPr>
            <a:t>Callers</a:t>
          </a:r>
        </a:p>
      </xdr:txBody>
    </xdr:sp>
    <xdr:clientData/>
  </xdr:oneCellAnchor>
  <xdr:oneCellAnchor>
    <xdr:from>
      <xdr:col>2</xdr:col>
      <xdr:colOff>342900</xdr:colOff>
      <xdr:row>34</xdr:row>
      <xdr:rowOff>83820</xdr:rowOff>
    </xdr:from>
    <xdr:ext cx="701040" cy="264560"/>
    <xdr:sp macro="" textlink="pivots!E10">
      <xdr:nvSpPr>
        <xdr:cNvPr id="30" name="TextBox 29">
          <a:extLst>
            <a:ext uri="{FF2B5EF4-FFF2-40B4-BE49-F238E27FC236}">
              <a16:creationId xmlns:a16="http://schemas.microsoft.com/office/drawing/2014/main" id="{BAD14D09-5E7F-419B-B1E6-8B953769FD04}"/>
            </a:ext>
          </a:extLst>
        </xdr:cNvPr>
        <xdr:cNvSpPr txBox="1"/>
      </xdr:nvSpPr>
      <xdr:spPr>
        <a:xfrm>
          <a:off x="868680" y="6301740"/>
          <a:ext cx="7010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06A227A5-44F8-4458-9759-9876FD874EFD}" type="TxLink">
            <a:rPr lang="en-US" sz="1100" b="0" i="0" u="none" strike="noStrike">
              <a:solidFill>
                <a:schemeClr val="bg1"/>
              </a:solidFill>
              <a:latin typeface="Aptos"/>
            </a:rPr>
            <a:pPr algn="ctr"/>
            <a:t>60</a:t>
          </a:fld>
          <a:endParaRPr lang="en-IN" sz="1100">
            <a:solidFill>
              <a:schemeClr val="bg1"/>
            </a:solidFill>
          </a:endParaRPr>
        </a:p>
      </xdr:txBody>
    </xdr:sp>
    <xdr:clientData/>
  </xdr:oneCellAnchor>
  <xdr:twoCellAnchor editAs="oneCell">
    <xdr:from>
      <xdr:col>2</xdr:col>
      <xdr:colOff>62528</xdr:colOff>
      <xdr:row>17</xdr:row>
      <xdr:rowOff>59441</xdr:rowOff>
    </xdr:from>
    <xdr:to>
      <xdr:col>2</xdr:col>
      <xdr:colOff>373380</xdr:colOff>
      <xdr:row>18</xdr:row>
      <xdr:rowOff>129540</xdr:rowOff>
    </xdr:to>
    <xdr:pic>
      <xdr:nvPicPr>
        <xdr:cNvPr id="31" name="Graphic 30" descr="Hourglass Finished with solid fill">
          <a:extLst>
            <a:ext uri="{FF2B5EF4-FFF2-40B4-BE49-F238E27FC236}">
              <a16:creationId xmlns:a16="http://schemas.microsoft.com/office/drawing/2014/main" id="{1B0818A4-D390-478F-A0FA-C666BA59088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88308" y="3168401"/>
          <a:ext cx="310852" cy="252979"/>
        </a:xfrm>
        <a:prstGeom prst="rect">
          <a:avLst/>
        </a:prstGeom>
      </xdr:spPr>
    </xdr:pic>
    <xdr:clientData/>
  </xdr:twoCellAnchor>
  <xdr:twoCellAnchor editAs="oneCell">
    <xdr:from>
      <xdr:col>2</xdr:col>
      <xdr:colOff>70149</xdr:colOff>
      <xdr:row>9</xdr:row>
      <xdr:rowOff>181360</xdr:rowOff>
    </xdr:from>
    <xdr:to>
      <xdr:col>2</xdr:col>
      <xdr:colOff>396241</xdr:colOff>
      <xdr:row>11</xdr:row>
      <xdr:rowOff>129825</xdr:rowOff>
    </xdr:to>
    <xdr:pic>
      <xdr:nvPicPr>
        <xdr:cNvPr id="33" name="Graphic 32" descr="Shopping cart with solid fill">
          <a:extLst>
            <a:ext uri="{FF2B5EF4-FFF2-40B4-BE49-F238E27FC236}">
              <a16:creationId xmlns:a16="http://schemas.microsoft.com/office/drawing/2014/main" id="{2CB72F90-E28E-49A5-9DFB-D88F2D959F0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95929" y="1827280"/>
          <a:ext cx="326092" cy="314225"/>
        </a:xfrm>
        <a:prstGeom prst="rect">
          <a:avLst/>
        </a:prstGeom>
      </xdr:spPr>
    </xdr:pic>
    <xdr:clientData/>
  </xdr:twoCellAnchor>
  <xdr:twoCellAnchor editAs="oneCell">
    <xdr:from>
      <xdr:col>2</xdr:col>
      <xdr:colOff>39669</xdr:colOff>
      <xdr:row>23</xdr:row>
      <xdr:rowOff>128021</xdr:rowOff>
    </xdr:from>
    <xdr:to>
      <xdr:col>2</xdr:col>
      <xdr:colOff>394028</xdr:colOff>
      <xdr:row>25</xdr:row>
      <xdr:rowOff>53340</xdr:rowOff>
    </xdr:to>
    <xdr:pic>
      <xdr:nvPicPr>
        <xdr:cNvPr id="34" name="Graphic 33" descr="Rating Star with solid fill">
          <a:extLst>
            <a:ext uri="{FF2B5EF4-FFF2-40B4-BE49-F238E27FC236}">
              <a16:creationId xmlns:a16="http://schemas.microsoft.com/office/drawing/2014/main" id="{652A03D7-95CC-4C8D-9AC6-0B74E764ABA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565449" y="4334261"/>
          <a:ext cx="354359" cy="291079"/>
        </a:xfrm>
        <a:prstGeom prst="rect">
          <a:avLst/>
        </a:prstGeom>
      </xdr:spPr>
    </xdr:pic>
    <xdr:clientData/>
  </xdr:twoCellAnchor>
  <xdr:twoCellAnchor editAs="oneCell">
    <xdr:from>
      <xdr:col>14</xdr:col>
      <xdr:colOff>358140</xdr:colOff>
      <xdr:row>19</xdr:row>
      <xdr:rowOff>30481</xdr:rowOff>
    </xdr:from>
    <xdr:to>
      <xdr:col>17</xdr:col>
      <xdr:colOff>403860</xdr:colOff>
      <xdr:row>28</xdr:row>
      <xdr:rowOff>137160</xdr:rowOff>
    </xdr:to>
    <mc:AlternateContent xmlns:mc="http://schemas.openxmlformats.org/markup-compatibility/2006" xmlns:a14="http://schemas.microsoft.com/office/drawing/2010/main">
      <mc:Choice Requires="a14">
        <xdr:graphicFrame macro="">
          <xdr:nvGraphicFramePr>
            <xdr:cNvPr id="36" name="Representative">
              <a:extLst>
                <a:ext uri="{FF2B5EF4-FFF2-40B4-BE49-F238E27FC236}">
                  <a16:creationId xmlns:a16="http://schemas.microsoft.com/office/drawing/2014/main" id="{2D351104-D37E-487A-811E-F48B2032EEA2}"/>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8130540" y="3749041"/>
              <a:ext cx="1790700" cy="1752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221642</xdr:colOff>
      <xdr:row>31</xdr:row>
      <xdr:rowOff>38101</xdr:rowOff>
    </xdr:from>
    <xdr:to>
      <xdr:col>2</xdr:col>
      <xdr:colOff>197224</xdr:colOff>
      <xdr:row>32</xdr:row>
      <xdr:rowOff>99060</xdr:rowOff>
    </xdr:to>
    <xdr:pic>
      <xdr:nvPicPr>
        <xdr:cNvPr id="35" name="Graphic 34" descr="Star-struck face outline with solid fill">
          <a:extLst>
            <a:ext uri="{FF2B5EF4-FFF2-40B4-BE49-F238E27FC236}">
              <a16:creationId xmlns:a16="http://schemas.microsoft.com/office/drawing/2014/main" id="{5D680BFA-A476-439B-9030-73B8656440B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73102" y="5707381"/>
          <a:ext cx="249902" cy="243839"/>
        </a:xfrm>
        <a:prstGeom prst="rect">
          <a:avLst/>
        </a:prstGeom>
      </xdr:spPr>
    </xdr:pic>
    <xdr:clientData/>
  </xdr:twoCellAnchor>
  <xdr:twoCellAnchor>
    <xdr:from>
      <xdr:col>11</xdr:col>
      <xdr:colOff>495300</xdr:colOff>
      <xdr:row>3</xdr:row>
      <xdr:rowOff>7620</xdr:rowOff>
    </xdr:from>
    <xdr:to>
      <xdr:col>16</xdr:col>
      <xdr:colOff>121920</xdr:colOff>
      <xdr:row>14</xdr:row>
      <xdr:rowOff>137160</xdr:rowOff>
    </xdr:to>
    <xdr:graphicFrame macro="">
      <xdr:nvGraphicFramePr>
        <xdr:cNvPr id="38" name="Chart 37">
          <a:extLst>
            <a:ext uri="{FF2B5EF4-FFF2-40B4-BE49-F238E27FC236}">
              <a16:creationId xmlns:a16="http://schemas.microsoft.com/office/drawing/2014/main" id="{2478D4B7-F09C-4C02-A4EA-5F5FB73BE5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15240</xdr:colOff>
      <xdr:row>2</xdr:row>
      <xdr:rowOff>99060</xdr:rowOff>
    </xdr:from>
    <xdr:to>
      <xdr:col>11</xdr:col>
      <xdr:colOff>563880</xdr:colOff>
      <xdr:row>17</xdr:row>
      <xdr:rowOff>99060</xdr:rowOff>
    </xdr:to>
    <xdr:graphicFrame macro="">
      <xdr:nvGraphicFramePr>
        <xdr:cNvPr id="37" name="Chart 36">
          <a:extLst>
            <a:ext uri="{FF2B5EF4-FFF2-40B4-BE49-F238E27FC236}">
              <a16:creationId xmlns:a16="http://schemas.microsoft.com/office/drawing/2014/main" id="{1552C23B-8323-4855-A351-E5914D6ED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300990</xdr:colOff>
      <xdr:row>19</xdr:row>
      <xdr:rowOff>68580</xdr:rowOff>
    </xdr:from>
    <xdr:to>
      <xdr:col>14</xdr:col>
      <xdr:colOff>426720</xdr:colOff>
      <xdr:row>37</xdr:row>
      <xdr:rowOff>106680</xdr:rowOff>
    </xdr:to>
    <xdr:graphicFrame macro="">
      <xdr:nvGraphicFramePr>
        <xdr:cNvPr id="40" name="Chart 39">
          <a:extLst>
            <a:ext uri="{FF2B5EF4-FFF2-40B4-BE49-F238E27FC236}">
              <a16:creationId xmlns:a16="http://schemas.microsoft.com/office/drawing/2014/main" id="{B8BB1D99-2334-4CC4-9C34-A5B82DEB4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121920</xdr:colOff>
      <xdr:row>19</xdr:row>
      <xdr:rowOff>99060</xdr:rowOff>
    </xdr:from>
    <xdr:to>
      <xdr:col>9</xdr:col>
      <xdr:colOff>426720</xdr:colOff>
      <xdr:row>37</xdr:row>
      <xdr:rowOff>91440</xdr:rowOff>
    </xdr:to>
    <xdr:graphicFrame macro="">
      <xdr:nvGraphicFramePr>
        <xdr:cNvPr id="39" name="Chart 38">
          <a:extLst>
            <a:ext uri="{FF2B5EF4-FFF2-40B4-BE49-F238E27FC236}">
              <a16:creationId xmlns:a16="http://schemas.microsoft.com/office/drawing/2014/main" id="{E293715E-31B7-447B-B445-B7930E171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266700</xdr:colOff>
      <xdr:row>2</xdr:row>
      <xdr:rowOff>83820</xdr:rowOff>
    </xdr:from>
    <xdr:to>
      <xdr:col>21</xdr:col>
      <xdr:colOff>548640</xdr:colOff>
      <xdr:row>15</xdr:row>
      <xdr:rowOff>175260</xdr:rowOff>
    </xdr:to>
    <xdr:graphicFrame macro="">
      <xdr:nvGraphicFramePr>
        <xdr:cNvPr id="3" name="Chart 2">
          <a:extLst>
            <a:ext uri="{FF2B5EF4-FFF2-40B4-BE49-F238E27FC236}">
              <a16:creationId xmlns:a16="http://schemas.microsoft.com/office/drawing/2014/main" id="{814DF089-5E5B-4A1A-A46C-581E193F7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23</xdr:col>
      <xdr:colOff>0</xdr:colOff>
      <xdr:row>2</xdr:row>
      <xdr:rowOff>0</xdr:rowOff>
    </xdr:from>
    <xdr:to>
      <xdr:col>27</xdr:col>
      <xdr:colOff>83820</xdr:colOff>
      <xdr:row>15</xdr:row>
      <xdr:rowOff>129540</xdr:rowOff>
    </xdr:to>
    <xdr:graphicFrame macro="">
      <xdr:nvGraphicFramePr>
        <xdr:cNvPr id="7" name="Chart 6">
          <a:extLst>
            <a:ext uri="{FF2B5EF4-FFF2-40B4-BE49-F238E27FC236}">
              <a16:creationId xmlns:a16="http://schemas.microsoft.com/office/drawing/2014/main" id="{0E576313-2ED4-43BA-A43B-838332CC4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resh S G" refreshedDate="46221.920978472219" backgroundQuery="1" createdVersion="8" refreshedVersion="8" minRefreshableVersion="3" recordCount="0" supportSubquery="1" supportAdvancedDrill="1" xr:uid="{84D62D9B-917A-4B4D-9139-F752150AE934}">
  <cacheSource type="external" connectionId="1"/>
  <cacheFields count="5">
    <cacheField name="[Measures].[Call count]" caption="Call count" numFmtId="0" hierarchy="18" level="32767"/>
    <cacheField name="[Measures].[Total Amount]" caption="Total Amount" numFmtId="0" hierarchy="19" level="32767"/>
    <cacheField name="[Measures].[Total Duration]" caption="Total Duration" numFmtId="0" hierarchy="20" level="32767"/>
    <cacheField name="[Measures].[Avg Rating]" caption="Avg Rating" numFmtId="0" hierarchy="21" level="32767"/>
    <cacheField name="[Measures].[5*calls]" caption="5*calls" numFmtId="0" hierarchy="22"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resh S G" refreshedDate="46221.960417013892" backgroundQuery="1" createdVersion="8" refreshedVersion="8" minRefreshableVersion="3" recordCount="0" supportSubquery="1" supportAdvancedDrill="1" xr:uid="{A30C4F5B-580D-4861-A040-FFEC13C36933}">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8" level="32767"/>
    <cacheField name="[Measures].[Total Amount]" caption="Total Amount" numFmtId="0" hierarchy="19"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resh S G" refreshedDate="46222.816996412039" backgroundQuery="1" createdVersion="8" refreshedVersion="8" minRefreshableVersion="3" recordCount="0" supportSubquery="1" supportAdvancedDrill="1" xr:uid="{12C31188-425E-4A2D-BD3E-A1FEEB7B38FF}">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resh S G" refreshedDate="46222.841598148145" backgroundQuery="1" createdVersion="8" refreshedVersion="8" minRefreshableVersion="3" recordCount="0" supportSubquery="1" supportAdvancedDrill="1" xr:uid="{D70A404C-3B81-4677-B0C7-F1CDB486E079}">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9"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resh S G" refreshedDate="46222.958767013886" backgroundQuery="1" createdVersion="8" refreshedVersion="8" minRefreshableVersion="3" recordCount="0" supportSubquery="1" supportAdvancedDrill="1" xr:uid="{017A1270-E0A8-47AA-990C-CD2528A4F963}">
  <cacheSource type="external" connectionId="1"/>
  <cacheFields count="6">
    <cacheField name="[Measures].[Call count]" caption="Call count" numFmtId="0" hierarchy="18" level="32767"/>
    <cacheField name="[Measures].[Total Amount]" caption="Total Amount" numFmtId="0" hierarchy="19" level="32767"/>
    <cacheField name="[Measures].[Total Duration]" caption="Total Duration" numFmtId="0" hierarchy="20" level="32767"/>
    <cacheField name="[Measures].[Avg Rating]" caption="Avg Rating" numFmtId="0" hierarchy="21" level="32767"/>
    <cacheField name="[Measures].[5*calls]" caption="5*calls" numFmtId="0" hierarchy="22"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resh S G" refreshedDate="46222.958770254627" backgroundQuery="1" createdVersion="8" refreshedVersion="8" minRefreshableVersion="3" recordCount="0" supportSubquery="1" supportAdvancedDrill="1" xr:uid="{AA1358F8-9331-4999-8CB6-A86C15487FD3}">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8"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resh S G" refreshedDate="46222.958773611113" backgroundQuery="1" createdVersion="8" refreshedVersion="8" minRefreshableVersion="3" recordCount="0" supportSubquery="1" supportAdvancedDrill="1" xr:uid="{8B2C5B91-4342-45C0-992C-FB0D8CC301BD}">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resh S G" refreshedDate="46222.958776736108" backgroundQuery="1" createdVersion="8" refreshedVersion="8" minRefreshableVersion="3" recordCount="0" supportSubquery="1" supportAdvancedDrill="1" xr:uid="{8C675451-9AB4-4BDB-B7C5-27127FCC6CAB}">
  <cacheSource type="external" connectionId="1"/>
  <cacheFields count="1">
    <cacheField name="[calls].[Representative].[Representative]" caption="Representative" numFmtId="0" hierarchy="3" level="1">
      <sharedItems count="1">
        <s v="R03"/>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resh S G" refreshedDate="46222.958778819448" backgroundQuery="1" createdVersion="8" refreshedVersion="8" minRefreshableVersion="3" recordCount="0" supportSubquery="1" supportAdvancedDrill="1" xr:uid="{C9213397-AD48-40D9-BDC1-76FD5DA8BDEB}">
  <cacheSource type="external" connectionId="1"/>
  <cacheFields count="3">
    <cacheField name="[Measures].[Call count]" caption="Call count" numFmtId="0" hierarchy="18"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resh S G" refreshedDate="46221.920974768516" backgroundQuery="1" createdVersion="3" refreshedVersion="8" minRefreshableVersion="3" recordCount="0" supportSubquery="1" supportAdvancedDrill="1" xr:uid="{549CB43A-6EB9-4660-A5F4-3F0F3A5FB084}">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470824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C4A569-3777-4DC7-B562-FDDA2BD25239}" name="weekly trend" cacheId="4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F14:G22"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19"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A0A6B6-2F56-4116-B454-11278349609D}" name="monthly trend" cacheId="4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14:C2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3">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2" count="1" selected="0">
            <x v="9"/>
          </reference>
        </references>
      </pivotArea>
    </chartFormat>
  </chart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9DC246-AFF6-430A-B23C-693C0F0DF0BF}" name="Rep amounts" cacheId="422"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2">
  <location ref="A64:G83"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546476-BBFE-4330-9D0F-94810F78599D}" name="rating" cacheId="4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6:B63"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10"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46F281-BA16-43EF-8C78-E8B2F7C2FA79}" name="Rep pivot" cacheId="4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EA5C9F-5BF3-4BA9-8BF4-8C0A1E2A3839}" name="male vs female callers" cacheId="4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8:D53"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3">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4" format="6">
      <pivotArea type="data" outline="0" fieldPosition="0">
        <references count="3">
          <reference field="4294967294" count="1" selected="0">
            <x v="0"/>
          </reference>
          <reference field="0"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7CD1AB-8FCD-429F-8393-F6DCF3DBA388}" name="Summary pivot" cacheId="4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6B61A7-3625-424A-8D78-9444BC8B3122}" name="selected rep" cacheId="44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9:A40"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6">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1A45CE-6F96-47E2-9DDF-B13D84551819}" name="reps pivot" cacheId="4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C3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v>Business woman raising hand</v>
  </rv>
  <rv s="0">
    <v>1</v>
    <v>5</v>
    <v>A person in a skirt and a cardigan
Description automatically generated</v>
  </rv>
  <rv s="0">
    <v>2</v>
    <v>5</v>
    <v>A person in a suit and tie
Description automatically generated</v>
  </rv>
  <rv s="0">
    <v>0</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7ADD5BD7-597F-4EF9-8412-5905F3742A68}" sourceName="[calls].[Representative]">
  <pivotTables>
    <pivotTable tabId="6" name="Rep pivot"/>
    <pivotTable tabId="6" name="monthly trend"/>
    <pivotTable tabId="6" name="weekly trend"/>
    <pivotTable tabId="6" name="selected rep"/>
    <pivotTable tabId="6" name="rating"/>
  </pivotTables>
  <data>
    <olap pivotCacheId="1247082401">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48486920-0345-4C63-8FCE-042929B90047}" cache="Slicer_Representative" caption="Representative" level="1" style="SlicerStyleLight5 2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5"/>
    <tableColumn id="5" xr3:uid="{5A35565E-8707-4DED-AD15-A0669D67B382}" name="Date of Call" dataDxfId="14"/>
    <tableColumn id="6" xr3:uid="{F2E4F158-B41F-47BC-8DF8-DFCADFEE4E40}" name="Purchase Amount"/>
    <tableColumn id="7" xr3:uid="{04B291B5-47BD-4F78-8FD8-D1551CCA6BD9}" name="Satisfaction Rating"/>
    <tableColumn id="8" xr3:uid="{6E4123C0-0B17-43B8-A142-A1E540CE974C}" name="FY" dataDxfId="13">
      <calculatedColumnFormula>IF(MONTH(calls[[#This Row],[Date of Call]])&lt;=6, YEAR(calls[[#This Row],[Date of Call]]), YEAR(calls[[#This Row],[Date of Call]])+1)</calculatedColumnFormula>
    </tableColumn>
    <tableColumn id="9" xr3:uid="{199FA271-5E9B-46CE-9BC6-2801F92CD17E}" name="Day of week" dataDxfId="12">
      <calculatedColumnFormula>TEXT(calls[[#This Row],[Date of Call]],"DDDD")</calculatedColumnFormula>
    </tableColumn>
    <tableColumn id="10" xr3:uid="{328CDB09-95B8-4D5E-9ED9-EF0D363735A1}" name="Duration Bucket" dataDxfId="1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0">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9" headerRowBorderDxfId="8" tableBorderDxfId="7" totalsRowBorderDxfId="6">
  <autoFilter ref="Q3:T18" xr:uid="{27158F51-A707-4171-8A04-81FB0AABCBA5}"/>
  <tableColumns count="4">
    <tableColumn id="1" xr3:uid="{02688061-6A8C-4E23-B7FF-D00CD8B58CAC}" name="Customer ID" dataDxfId="5"/>
    <tableColumn id="2" xr3:uid="{771678B6-DB44-426B-9874-B4E421A440D5}" name="Gedner" dataDxfId="4"/>
    <tableColumn id="3" xr3:uid="{B0D41C62-587E-494D-B49A-603F2C05F8D3}" name="Age" dataDxfId="3"/>
    <tableColumn id="4" xr3:uid="{663F92D6-FE31-4D81-9E01-8D066DDC8A88}" name="City"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5F58A-BE68-4AE9-9AC2-CD1107B53ABD}">
  <dimension ref="A3:J83"/>
  <sheetViews>
    <sheetView topLeftCell="A40" workbookViewId="0">
      <selection activeCell="A40" sqref="A40"/>
    </sheetView>
  </sheetViews>
  <sheetFormatPr defaultRowHeight="14.4" x14ac:dyDescent="0.3"/>
  <cols>
    <col min="1" max="1" width="12.19921875" bestFit="1" customWidth="1"/>
    <col min="2" max="2" width="9.19921875" bestFit="1" customWidth="1"/>
    <col min="3" max="3" width="10.19921875" bestFit="1" customWidth="1"/>
    <col min="4" max="4" width="9.296875" bestFit="1" customWidth="1"/>
    <col min="5" max="5" width="6.59765625" bestFit="1" customWidth="1"/>
    <col min="6" max="6" width="12.19921875" bestFit="1" customWidth="1"/>
    <col min="7" max="7" width="9.19921875" bestFit="1" customWidth="1"/>
    <col min="8" max="8" width="10.19921875" bestFit="1" customWidth="1"/>
  </cols>
  <sheetData>
    <row r="3" spans="1:7" x14ac:dyDescent="0.3">
      <c r="A3" t="s">
        <v>1042</v>
      </c>
      <c r="B3" t="s">
        <v>1043</v>
      </c>
      <c r="C3" t="s">
        <v>1044</v>
      </c>
      <c r="D3" t="s">
        <v>1045</v>
      </c>
      <c r="E3" t="s">
        <v>1046</v>
      </c>
    </row>
    <row r="4" spans="1:7" x14ac:dyDescent="0.3">
      <c r="A4" s="21">
        <v>1000</v>
      </c>
      <c r="B4" s="22">
        <v>96623</v>
      </c>
      <c r="C4" s="21">
        <v>89850</v>
      </c>
      <c r="D4" s="23">
        <v>3.8854000000000033</v>
      </c>
      <c r="E4" s="21">
        <v>307</v>
      </c>
    </row>
    <row r="9" spans="1:7" x14ac:dyDescent="0.3">
      <c r="A9" t="s">
        <v>1042</v>
      </c>
      <c r="B9" t="s">
        <v>1043</v>
      </c>
      <c r="C9" t="s">
        <v>1044</v>
      </c>
      <c r="D9" t="s">
        <v>1045</v>
      </c>
      <c r="E9" t="s">
        <v>1046</v>
      </c>
    </row>
    <row r="10" spans="1:7" x14ac:dyDescent="0.3">
      <c r="A10" s="21">
        <v>207</v>
      </c>
      <c r="B10" s="22">
        <v>20872</v>
      </c>
      <c r="C10" s="21">
        <v>17700</v>
      </c>
      <c r="D10" s="23">
        <v>3.8589371980676304</v>
      </c>
      <c r="E10" s="21">
        <v>60</v>
      </c>
    </row>
    <row r="14" spans="1:7" x14ac:dyDescent="0.3">
      <c r="A14" s="24" t="s">
        <v>1047</v>
      </c>
      <c r="B14" t="s">
        <v>1042</v>
      </c>
      <c r="C14" t="s">
        <v>1061</v>
      </c>
      <c r="F14" s="24" t="s">
        <v>1047</v>
      </c>
      <c r="G14" t="s">
        <v>1042</v>
      </c>
    </row>
    <row r="15" spans="1:7" x14ac:dyDescent="0.3">
      <c r="A15" s="26" t="s">
        <v>1049</v>
      </c>
      <c r="B15" s="21">
        <v>13</v>
      </c>
      <c r="C15" s="21">
        <v>13</v>
      </c>
      <c r="F15" s="26" t="s">
        <v>1065</v>
      </c>
      <c r="G15" s="21">
        <v>30</v>
      </c>
    </row>
    <row r="16" spans="1:7" x14ac:dyDescent="0.3">
      <c r="A16" s="26" t="s">
        <v>1050</v>
      </c>
      <c r="B16" s="21">
        <v>13</v>
      </c>
      <c r="C16" s="21">
        <v>13</v>
      </c>
      <c r="F16" s="26" t="s">
        <v>1063</v>
      </c>
      <c r="G16" s="21">
        <v>34</v>
      </c>
    </row>
    <row r="17" spans="1:10" x14ac:dyDescent="0.3">
      <c r="A17" s="26" t="s">
        <v>1051</v>
      </c>
      <c r="B17" s="21">
        <v>28</v>
      </c>
      <c r="C17" s="21">
        <v>28</v>
      </c>
      <c r="F17" s="26" t="s">
        <v>1067</v>
      </c>
      <c r="G17" s="21">
        <v>26</v>
      </c>
    </row>
    <row r="18" spans="1:10" x14ac:dyDescent="0.3">
      <c r="A18" s="26" t="s">
        <v>1052</v>
      </c>
      <c r="B18" s="21">
        <v>24</v>
      </c>
      <c r="C18" s="21">
        <v>24</v>
      </c>
      <c r="F18" s="26" t="s">
        <v>1068</v>
      </c>
      <c r="G18" s="21">
        <v>38</v>
      </c>
    </row>
    <row r="19" spans="1:10" x14ac:dyDescent="0.3">
      <c r="A19" s="26" t="s">
        <v>1053</v>
      </c>
      <c r="B19" s="21">
        <v>23</v>
      </c>
      <c r="C19" s="21">
        <v>23</v>
      </c>
      <c r="F19" s="26" t="s">
        <v>1066</v>
      </c>
      <c r="G19" s="21">
        <v>27</v>
      </c>
    </row>
    <row r="20" spans="1:10" x14ac:dyDescent="0.3">
      <c r="A20" s="26" t="s">
        <v>1054</v>
      </c>
      <c r="B20" s="21">
        <v>17</v>
      </c>
      <c r="C20" s="21">
        <v>17</v>
      </c>
      <c r="F20" s="26" t="s">
        <v>1062</v>
      </c>
      <c r="G20" s="21">
        <v>27</v>
      </c>
    </row>
    <row r="21" spans="1:10" x14ac:dyDescent="0.3">
      <c r="A21" s="26" t="s">
        <v>1055</v>
      </c>
      <c r="B21" s="21">
        <v>11</v>
      </c>
      <c r="C21" s="21">
        <v>11</v>
      </c>
      <c r="F21" s="26" t="s">
        <v>1064</v>
      </c>
      <c r="G21" s="21">
        <v>25</v>
      </c>
    </row>
    <row r="22" spans="1:10" x14ac:dyDescent="0.3">
      <c r="A22" s="26" t="s">
        <v>1056</v>
      </c>
      <c r="B22" s="21">
        <v>11</v>
      </c>
      <c r="C22" s="21">
        <v>11</v>
      </c>
      <c r="F22" s="26" t="s">
        <v>1048</v>
      </c>
      <c r="G22" s="21">
        <v>207</v>
      </c>
    </row>
    <row r="23" spans="1:10" x14ac:dyDescent="0.3">
      <c r="A23" s="26" t="s">
        <v>1057</v>
      </c>
      <c r="B23" s="21">
        <v>14</v>
      </c>
      <c r="C23" s="21">
        <v>14</v>
      </c>
    </row>
    <row r="24" spans="1:10" x14ac:dyDescent="0.3">
      <c r="A24" s="26" t="s">
        <v>1058</v>
      </c>
      <c r="B24" s="21">
        <v>30</v>
      </c>
      <c r="C24" s="21">
        <v>30</v>
      </c>
    </row>
    <row r="25" spans="1:10" x14ac:dyDescent="0.3">
      <c r="A25" s="26" t="s">
        <v>1059</v>
      </c>
      <c r="B25" s="21">
        <v>14</v>
      </c>
      <c r="C25" s="21">
        <v>14</v>
      </c>
    </row>
    <row r="26" spans="1:10" x14ac:dyDescent="0.3">
      <c r="A26" s="26" t="s">
        <v>1060</v>
      </c>
      <c r="B26" s="21">
        <v>9</v>
      </c>
      <c r="C26" s="21">
        <v>9</v>
      </c>
    </row>
    <row r="27" spans="1:10" x14ac:dyDescent="0.3">
      <c r="A27" s="26" t="s">
        <v>1048</v>
      </c>
      <c r="B27" s="21">
        <v>207</v>
      </c>
      <c r="C27" s="21">
        <v>207</v>
      </c>
    </row>
    <row r="30" spans="1:10" x14ac:dyDescent="0.3">
      <c r="F30" t="s">
        <v>1069</v>
      </c>
      <c r="I30" t="s">
        <v>1075</v>
      </c>
      <c r="J30" t="str">
        <f>A40</f>
        <v>R03</v>
      </c>
    </row>
    <row r="31" spans="1:10" x14ac:dyDescent="0.3">
      <c r="A31" s="24" t="s">
        <v>1047</v>
      </c>
      <c r="B31" t="s">
        <v>1042</v>
      </c>
      <c r="C31" t="s">
        <v>1043</v>
      </c>
      <c r="F31" t="s">
        <v>1070</v>
      </c>
      <c r="G31" t="s">
        <v>1071</v>
      </c>
      <c r="H31" t="s">
        <v>1072</v>
      </c>
      <c r="I31" t="s">
        <v>1073</v>
      </c>
      <c r="J31" t="s">
        <v>1074</v>
      </c>
    </row>
    <row r="32" spans="1:10" x14ac:dyDescent="0.3">
      <c r="A32" s="26" t="s">
        <v>11</v>
      </c>
      <c r="B32" s="21">
        <v>189</v>
      </c>
      <c r="C32" s="22">
        <v>18415</v>
      </c>
      <c r="F32" t="str" cm="1">
        <f t="array" ref="F32:H36">A32:C36</f>
        <v>R01</v>
      </c>
      <c r="G32">
        <v>189</v>
      </c>
      <c r="H32" s="27">
        <v>18415</v>
      </c>
      <c r="I32" t="e">
        <f>IF(F32=$J$30,G32,NA())</f>
        <v>#N/A</v>
      </c>
      <c r="J32" t="e">
        <f>IF(F32=$J$30,H32,NA())</f>
        <v>#N/A</v>
      </c>
    </row>
    <row r="33" spans="1:10" x14ac:dyDescent="0.3">
      <c r="A33" s="26" t="s">
        <v>9</v>
      </c>
      <c r="B33" s="21">
        <v>218</v>
      </c>
      <c r="C33" s="22">
        <v>20581</v>
      </c>
      <c r="F33" t="str">
        <v>R02</v>
      </c>
      <c r="G33">
        <v>218</v>
      </c>
      <c r="H33" s="27">
        <v>20581</v>
      </c>
      <c r="I33" t="e">
        <f>IF(F33=$J$30,G33,NA())</f>
        <v>#N/A</v>
      </c>
      <c r="J33" t="e">
        <f>IF(F33=$J$30,H33,NA())</f>
        <v>#N/A</v>
      </c>
    </row>
    <row r="34" spans="1:10" x14ac:dyDescent="0.3">
      <c r="A34" s="26" t="s">
        <v>6</v>
      </c>
      <c r="B34" s="21">
        <v>207</v>
      </c>
      <c r="C34" s="22">
        <v>20872</v>
      </c>
      <c r="F34" t="str">
        <v>R03</v>
      </c>
      <c r="G34">
        <v>207</v>
      </c>
      <c r="H34" s="27">
        <v>20872</v>
      </c>
      <c r="I34">
        <f>IF(F34=$J$30,G34,NA())</f>
        <v>207</v>
      </c>
      <c r="J34">
        <f>IF(F34=$J$30,H34,NA())</f>
        <v>20872</v>
      </c>
    </row>
    <row r="35" spans="1:10" x14ac:dyDescent="0.3">
      <c r="A35" s="26" t="s">
        <v>13</v>
      </c>
      <c r="B35" s="21">
        <v>186</v>
      </c>
      <c r="C35" s="22">
        <v>16651</v>
      </c>
      <c r="F35" t="str">
        <v>R04</v>
      </c>
      <c r="G35">
        <v>186</v>
      </c>
      <c r="H35" s="27">
        <v>16651</v>
      </c>
      <c r="I35" t="e">
        <f>IF(F35=$J$30,G35,NA())</f>
        <v>#N/A</v>
      </c>
      <c r="J35" t="e">
        <f>IF(F35=$J$30,H35,NA())</f>
        <v>#N/A</v>
      </c>
    </row>
    <row r="36" spans="1:10" x14ac:dyDescent="0.3">
      <c r="A36" s="26" t="s">
        <v>10</v>
      </c>
      <c r="B36" s="21">
        <v>200</v>
      </c>
      <c r="C36" s="22">
        <v>20104</v>
      </c>
      <c r="F36" t="str">
        <v>R05</v>
      </c>
      <c r="G36">
        <v>200</v>
      </c>
      <c r="H36" s="27">
        <v>20104</v>
      </c>
      <c r="I36" t="e">
        <f>IF(F36=$J$30,G36,NA())</f>
        <v>#N/A</v>
      </c>
      <c r="J36" t="e">
        <f>IF(F36=$J$30,H36,NA())</f>
        <v>#N/A</v>
      </c>
    </row>
    <row r="37" spans="1:10" x14ac:dyDescent="0.3">
      <c r="A37" s="26" t="s">
        <v>1048</v>
      </c>
      <c r="B37" s="21">
        <v>1000</v>
      </c>
      <c r="C37" s="22">
        <v>96623</v>
      </c>
    </row>
    <row r="39" spans="1:10" x14ac:dyDescent="0.3">
      <c r="A39" s="24" t="s">
        <v>1047</v>
      </c>
    </row>
    <row r="40" spans="1:10" x14ac:dyDescent="0.3">
      <c r="A40" s="28" t="s">
        <v>6</v>
      </c>
    </row>
    <row r="42" spans="1:10" x14ac:dyDescent="0.3">
      <c r="G42" t="s">
        <v>1078</v>
      </c>
    </row>
    <row r="43" spans="1:10" x14ac:dyDescent="0.3">
      <c r="G43" t="s">
        <v>1080</v>
      </c>
      <c r="H43" s="1">
        <f>A10/A4</f>
        <v>0.20699999999999999</v>
      </c>
    </row>
    <row r="45" spans="1:10" x14ac:dyDescent="0.3">
      <c r="G45" t="s">
        <v>1071</v>
      </c>
      <c r="H45">
        <f>_xlfn.XLOOKUP(A40,F32:F36,G32:G36)</f>
        <v>207</v>
      </c>
    </row>
    <row r="46" spans="1:10" x14ac:dyDescent="0.3">
      <c r="G46" t="s">
        <v>1079</v>
      </c>
      <c r="H46">
        <f>_xlfn.XLOOKUP(A40,F32:F36,H32:H36)</f>
        <v>20872</v>
      </c>
    </row>
    <row r="47" spans="1:10" x14ac:dyDescent="0.3">
      <c r="G47" t="s">
        <v>1081</v>
      </c>
      <c r="H47">
        <f>_xlfn.RANK.AVG(H45,G32:G36)</f>
        <v>2</v>
      </c>
    </row>
    <row r="48" spans="1:10" x14ac:dyDescent="0.3">
      <c r="A48" s="24" t="s">
        <v>1042</v>
      </c>
      <c r="B48" s="24" t="s">
        <v>1076</v>
      </c>
      <c r="G48" t="s">
        <v>1082</v>
      </c>
      <c r="H48">
        <f>_xlfn.RANK.AVG(H46,H32:H36)</f>
        <v>1</v>
      </c>
    </row>
    <row r="49" spans="1:8" x14ac:dyDescent="0.3">
      <c r="A49" s="24" t="s">
        <v>1047</v>
      </c>
      <c r="B49" t="s">
        <v>999</v>
      </c>
      <c r="C49" t="s">
        <v>998</v>
      </c>
      <c r="D49" t="s">
        <v>1048</v>
      </c>
    </row>
    <row r="50" spans="1:8" x14ac:dyDescent="0.3">
      <c r="A50" s="26" t="s">
        <v>1002</v>
      </c>
      <c r="B50" s="21">
        <v>144</v>
      </c>
      <c r="C50" s="21">
        <v>132</v>
      </c>
      <c r="D50" s="21">
        <v>276</v>
      </c>
      <c r="G50" t="s">
        <v>1083</v>
      </c>
    </row>
    <row r="51" spans="1:8" x14ac:dyDescent="0.3">
      <c r="A51" s="26" t="s">
        <v>1001</v>
      </c>
      <c r="B51" s="21">
        <v>326</v>
      </c>
      <c r="C51" s="21">
        <v>63</v>
      </c>
      <c r="D51" s="21">
        <v>389</v>
      </c>
      <c r="H51" t="str">
        <f>"% of calls:"&amp;TEXT(H43,"0%")</f>
        <v>% of calls:21%</v>
      </c>
    </row>
    <row r="52" spans="1:8" x14ac:dyDescent="0.3">
      <c r="A52" s="26" t="s">
        <v>1000</v>
      </c>
      <c r="B52" s="21">
        <v>129</v>
      </c>
      <c r="C52" s="21">
        <v>206</v>
      </c>
      <c r="D52" s="21">
        <v>335</v>
      </c>
      <c r="H52" t="str">
        <f>IF(COUNTA(A40:A44)&gt;1,"","Call Rank:"&amp;H47)</f>
        <v>Call Rank:2</v>
      </c>
    </row>
    <row r="53" spans="1:8" x14ac:dyDescent="0.3">
      <c r="A53" s="26" t="s">
        <v>1048</v>
      </c>
      <c r="B53" s="21">
        <v>599</v>
      </c>
      <c r="C53" s="21">
        <v>401</v>
      </c>
      <c r="D53" s="21">
        <v>1000</v>
      </c>
      <c r="H53" t="str">
        <f>IF(COUNTA(A40:A44)&gt;1,"","Amount Rank:"&amp;H48)</f>
        <v>Amount Rank:1</v>
      </c>
    </row>
    <row r="55" spans="1:8" x14ac:dyDescent="0.3">
      <c r="G55" t="s">
        <v>1084</v>
      </c>
    </row>
    <row r="56" spans="1:8" x14ac:dyDescent="0.3">
      <c r="A56" s="24" t="s">
        <v>1047</v>
      </c>
      <c r="B56" t="s">
        <v>1042</v>
      </c>
      <c r="H56" t="e" vm="1">
        <f>IF(COUNTA(A40:A44)&gt;1,"",_xlfn.XLOOKUP(A40,Assets!E3:E7,Assets!F3:F7))</f>
        <v>#VALUE!</v>
      </c>
    </row>
    <row r="57" spans="1:8" x14ac:dyDescent="0.3">
      <c r="A57" s="26">
        <v>0</v>
      </c>
      <c r="B57" s="21">
        <v>1</v>
      </c>
    </row>
    <row r="58" spans="1:8" x14ac:dyDescent="0.3">
      <c r="A58" s="26">
        <v>1</v>
      </c>
      <c r="B58" s="21">
        <v>1</v>
      </c>
    </row>
    <row r="59" spans="1:8" x14ac:dyDescent="0.3">
      <c r="A59" s="26">
        <v>2</v>
      </c>
      <c r="B59" s="21">
        <v>11</v>
      </c>
    </row>
    <row r="60" spans="1:8" x14ac:dyDescent="0.3">
      <c r="A60" s="26">
        <v>3</v>
      </c>
      <c r="B60" s="21">
        <v>46</v>
      </c>
    </row>
    <row r="61" spans="1:8" x14ac:dyDescent="0.3">
      <c r="A61" s="26">
        <v>4</v>
      </c>
      <c r="B61" s="21">
        <v>88</v>
      </c>
    </row>
    <row r="62" spans="1:8" x14ac:dyDescent="0.3">
      <c r="A62" s="26">
        <v>5</v>
      </c>
      <c r="B62" s="21">
        <v>60</v>
      </c>
    </row>
    <row r="63" spans="1:8" x14ac:dyDescent="0.3">
      <c r="A63" s="26" t="s">
        <v>1048</v>
      </c>
      <c r="B63" s="21">
        <v>207</v>
      </c>
    </row>
    <row r="64" spans="1:8" x14ac:dyDescent="0.3">
      <c r="A64" s="24" t="s">
        <v>1043</v>
      </c>
      <c r="B64" s="24" t="s">
        <v>1076</v>
      </c>
    </row>
    <row r="65" spans="1:7" x14ac:dyDescent="0.3">
      <c r="A65" s="24" t="s">
        <v>1047</v>
      </c>
      <c r="B65" t="s">
        <v>11</v>
      </c>
      <c r="C65" t="s">
        <v>9</v>
      </c>
      <c r="D65" t="s">
        <v>6</v>
      </c>
      <c r="E65" t="s">
        <v>13</v>
      </c>
      <c r="F65" t="s">
        <v>10</v>
      </c>
      <c r="G65" t="s">
        <v>1048</v>
      </c>
    </row>
    <row r="66" spans="1:7" x14ac:dyDescent="0.3">
      <c r="A66" s="26" t="s">
        <v>1002</v>
      </c>
    </row>
    <row r="67" spans="1:7" x14ac:dyDescent="0.3">
      <c r="A67" s="29" t="s">
        <v>20</v>
      </c>
      <c r="B67" s="22">
        <v>891</v>
      </c>
      <c r="C67" s="22">
        <v>1332</v>
      </c>
      <c r="D67" s="22">
        <v>1282</v>
      </c>
      <c r="E67" s="22">
        <v>739</v>
      </c>
      <c r="F67" s="22">
        <v>560</v>
      </c>
      <c r="G67" s="22">
        <v>4804</v>
      </c>
    </row>
    <row r="68" spans="1:7" x14ac:dyDescent="0.3">
      <c r="A68" s="29" t="s">
        <v>12</v>
      </c>
      <c r="B68" s="22">
        <v>1991</v>
      </c>
      <c r="C68" s="22">
        <v>1886</v>
      </c>
      <c r="D68" s="22">
        <v>1206</v>
      </c>
      <c r="E68" s="22">
        <v>884</v>
      </c>
      <c r="F68" s="22">
        <v>1722</v>
      </c>
      <c r="G68" s="22">
        <v>7689</v>
      </c>
    </row>
    <row r="69" spans="1:7" x14ac:dyDescent="0.3">
      <c r="A69" s="29" t="s">
        <v>8</v>
      </c>
      <c r="B69" s="22">
        <v>1163</v>
      </c>
      <c r="C69" s="22">
        <v>1180</v>
      </c>
      <c r="D69" s="22">
        <v>1616</v>
      </c>
      <c r="E69" s="22">
        <v>1043</v>
      </c>
      <c r="F69" s="22">
        <v>1747</v>
      </c>
      <c r="G69" s="22">
        <v>6749</v>
      </c>
    </row>
    <row r="70" spans="1:7" x14ac:dyDescent="0.3">
      <c r="A70" s="29" t="s">
        <v>16</v>
      </c>
      <c r="B70" s="22">
        <v>1438</v>
      </c>
      <c r="C70" s="22">
        <v>1616</v>
      </c>
      <c r="D70" s="22">
        <v>866</v>
      </c>
      <c r="E70" s="22">
        <v>829</v>
      </c>
      <c r="F70" s="22">
        <v>2070</v>
      </c>
      <c r="G70" s="22">
        <v>6819</v>
      </c>
    </row>
    <row r="71" spans="1:7" x14ac:dyDescent="0.3">
      <c r="A71" s="26" t="s">
        <v>1001</v>
      </c>
    </row>
    <row r="72" spans="1:7" x14ac:dyDescent="0.3">
      <c r="A72" s="29" t="s">
        <v>24</v>
      </c>
      <c r="B72" s="22">
        <v>1233</v>
      </c>
      <c r="C72" s="22">
        <v>223</v>
      </c>
      <c r="D72" s="22">
        <v>1680</v>
      </c>
      <c r="E72" s="22">
        <v>990</v>
      </c>
      <c r="F72" s="22">
        <v>1508</v>
      </c>
      <c r="G72" s="22">
        <v>5634</v>
      </c>
    </row>
    <row r="73" spans="1:7" x14ac:dyDescent="0.3">
      <c r="A73" s="29" t="s">
        <v>15</v>
      </c>
      <c r="B73" s="22">
        <v>1598</v>
      </c>
      <c r="C73" s="22">
        <v>1907</v>
      </c>
      <c r="D73" s="22">
        <v>869</v>
      </c>
      <c r="E73" s="22">
        <v>1426</v>
      </c>
      <c r="F73" s="22">
        <v>1416</v>
      </c>
      <c r="G73" s="22">
        <v>7216</v>
      </c>
    </row>
    <row r="74" spans="1:7" x14ac:dyDescent="0.3">
      <c r="A74" s="29" t="s">
        <v>5</v>
      </c>
      <c r="B74" s="22">
        <v>900</v>
      </c>
      <c r="C74" s="22">
        <v>1016</v>
      </c>
      <c r="D74" s="22">
        <v>960</v>
      </c>
      <c r="E74" s="22">
        <v>940</v>
      </c>
      <c r="F74" s="22">
        <v>1193</v>
      </c>
      <c r="G74" s="22">
        <v>5009</v>
      </c>
    </row>
    <row r="75" spans="1:7" x14ac:dyDescent="0.3">
      <c r="A75" s="29" t="s">
        <v>18</v>
      </c>
      <c r="B75" s="22">
        <v>900</v>
      </c>
      <c r="C75" s="22">
        <v>1470</v>
      </c>
      <c r="D75" s="22">
        <v>1617</v>
      </c>
      <c r="E75" s="22">
        <v>1314</v>
      </c>
      <c r="F75" s="22">
        <v>941</v>
      </c>
      <c r="G75" s="22">
        <v>6242</v>
      </c>
    </row>
    <row r="76" spans="1:7" x14ac:dyDescent="0.3">
      <c r="A76" s="29" t="s">
        <v>14</v>
      </c>
      <c r="B76" s="22">
        <v>1255</v>
      </c>
      <c r="C76" s="22">
        <v>516</v>
      </c>
      <c r="D76" s="22">
        <v>1874</v>
      </c>
      <c r="E76" s="22">
        <v>1863</v>
      </c>
      <c r="F76" s="22">
        <v>1722</v>
      </c>
      <c r="G76" s="22">
        <v>7230</v>
      </c>
    </row>
    <row r="77" spans="1:7" x14ac:dyDescent="0.3">
      <c r="A77" s="29" t="s">
        <v>19</v>
      </c>
      <c r="B77" s="22">
        <v>1138</v>
      </c>
      <c r="C77" s="22">
        <v>1898</v>
      </c>
      <c r="D77" s="22">
        <v>1482</v>
      </c>
      <c r="E77" s="22">
        <v>846</v>
      </c>
      <c r="F77" s="22">
        <v>1154</v>
      </c>
      <c r="G77" s="22">
        <v>6518</v>
      </c>
    </row>
    <row r="78" spans="1:7" x14ac:dyDescent="0.3">
      <c r="A78" s="26" t="s">
        <v>1000</v>
      </c>
    </row>
    <row r="79" spans="1:7" x14ac:dyDescent="0.3">
      <c r="A79" s="29" t="s">
        <v>17</v>
      </c>
      <c r="B79" s="22">
        <v>1655</v>
      </c>
      <c r="C79" s="22">
        <v>805</v>
      </c>
      <c r="D79" s="22">
        <v>2263</v>
      </c>
      <c r="E79" s="22">
        <v>987</v>
      </c>
      <c r="F79" s="22">
        <v>1075</v>
      </c>
      <c r="G79" s="22">
        <v>6785</v>
      </c>
    </row>
    <row r="80" spans="1:7" x14ac:dyDescent="0.3">
      <c r="A80" s="29" t="s">
        <v>23</v>
      </c>
      <c r="B80" s="22">
        <v>1104</v>
      </c>
      <c r="C80" s="22">
        <v>2280</v>
      </c>
      <c r="D80" s="22">
        <v>1445</v>
      </c>
      <c r="E80" s="22">
        <v>1722</v>
      </c>
      <c r="F80" s="22">
        <v>1196</v>
      </c>
      <c r="G80" s="22">
        <v>7747</v>
      </c>
    </row>
    <row r="81" spans="1:7" x14ac:dyDescent="0.3">
      <c r="A81" s="29" t="s">
        <v>7</v>
      </c>
      <c r="B81" s="22">
        <v>372</v>
      </c>
      <c r="C81" s="22">
        <v>1818</v>
      </c>
      <c r="D81" s="22">
        <v>1346</v>
      </c>
      <c r="E81" s="22">
        <v>1156</v>
      </c>
      <c r="F81" s="22">
        <v>1484</v>
      </c>
      <c r="G81" s="22">
        <v>6176</v>
      </c>
    </row>
    <row r="82" spans="1:7" x14ac:dyDescent="0.3">
      <c r="A82" s="29" t="s">
        <v>22</v>
      </c>
      <c r="B82" s="22">
        <v>1415</v>
      </c>
      <c r="C82" s="22">
        <v>1271</v>
      </c>
      <c r="D82" s="22">
        <v>1214</v>
      </c>
      <c r="E82" s="22">
        <v>1135</v>
      </c>
      <c r="F82" s="22">
        <v>1566</v>
      </c>
      <c r="G82" s="22">
        <v>6601</v>
      </c>
    </row>
    <row r="83" spans="1:7" x14ac:dyDescent="0.3">
      <c r="A83" s="29" t="s">
        <v>21</v>
      </c>
      <c r="B83" s="22">
        <v>1362</v>
      </c>
      <c r="C83" s="22">
        <v>1363</v>
      </c>
      <c r="D83" s="22">
        <v>1152</v>
      </c>
      <c r="E83" s="22">
        <v>777</v>
      </c>
      <c r="F83" s="22">
        <v>750</v>
      </c>
      <c r="G83" s="22">
        <v>5404</v>
      </c>
    </row>
  </sheetData>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115" zoomScaleNormal="115" workbookViewId="0">
      <selection activeCell="D6" sqref="D6"/>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A15" sqref="A15"/>
    </sheetView>
  </sheetViews>
  <sheetFormatPr defaultRowHeight="14.4" x14ac:dyDescent="0.3"/>
  <cols>
    <col min="5" max="5" width="10.8984375" customWidth="1"/>
    <col min="6" max="6" width="9.8984375" customWidth="1"/>
  </cols>
  <sheetData>
    <row r="2" spans="5:6" x14ac:dyDescent="0.3">
      <c r="E2" t="s">
        <v>1040</v>
      </c>
      <c r="F2" t="s">
        <v>1041</v>
      </c>
    </row>
    <row r="3" spans="5:6" ht="25.5" customHeight="1" x14ac:dyDescent="0.3">
      <c r="E3" t="s">
        <v>11</v>
      </c>
      <c r="F3" t="e" vm="2">
        <v>#VALUE!</v>
      </c>
    </row>
    <row r="4" spans="5:6" ht="25.5" customHeight="1" x14ac:dyDescent="0.3">
      <c r="E4" t="s">
        <v>9</v>
      </c>
      <c r="F4" t="e" vm="3">
        <v>#VALUE!</v>
      </c>
    </row>
    <row r="5" spans="5:6" ht="25.5" customHeight="1" x14ac:dyDescent="0.3">
      <c r="E5" t="s">
        <v>6</v>
      </c>
      <c r="F5" t="e" vm="4">
        <v>#VALUE!</v>
      </c>
    </row>
    <row r="6" spans="5:6" ht="25.5" customHeight="1" x14ac:dyDescent="0.3">
      <c r="E6" t="s">
        <v>13</v>
      </c>
      <c r="F6" t="e" vm="5">
        <v>#VALUE!</v>
      </c>
    </row>
    <row r="7" spans="5:6" ht="25.5" customHeight="1" x14ac:dyDescent="0.3">
      <c r="E7" t="s">
        <v>10</v>
      </c>
      <c r="F7" t="e" vm="6">
        <v>#VALUE!</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E340D-B045-4C1A-B0CB-FEF50F717ED2}">
  <dimension ref="A1:AE200"/>
  <sheetViews>
    <sheetView tabSelected="1" workbookViewId="0">
      <selection activeCell="AB34" sqref="AB34"/>
    </sheetView>
  </sheetViews>
  <sheetFormatPr defaultRowHeight="14.4" x14ac:dyDescent="0.3"/>
  <cols>
    <col min="1" max="1" width="3.296875" customWidth="1"/>
    <col min="2" max="2" width="3.59765625" customWidth="1"/>
    <col min="5" max="5" width="4" customWidth="1"/>
    <col min="13" max="13" width="3.09765625" customWidth="1"/>
    <col min="17" max="17" width="5.296875" customWidth="1"/>
    <col min="19" max="19" width="12.796875" customWidth="1"/>
    <col min="20" max="21" width="9.09765625" bestFit="1" customWidth="1"/>
    <col min="22" max="22" width="11.09765625" customWidth="1"/>
    <col min="23" max="23" width="9.09765625" customWidth="1"/>
    <col min="24" max="25" width="9.09765625" bestFit="1" customWidth="1"/>
  </cols>
  <sheetData>
    <row r="1" spans="1:31" ht="33.6" customHeight="1" x14ac:dyDescent="0.55000000000000004">
      <c r="A1" s="20"/>
      <c r="B1" s="20"/>
      <c r="C1" s="20"/>
      <c r="D1" s="20"/>
      <c r="E1" s="20"/>
      <c r="F1" s="20"/>
      <c r="G1" s="20"/>
      <c r="H1" s="20"/>
      <c r="I1" s="20"/>
      <c r="J1" s="42" t="s">
        <v>1085</v>
      </c>
      <c r="K1" s="20"/>
      <c r="L1" s="20"/>
      <c r="M1" s="20"/>
      <c r="N1" s="20"/>
      <c r="O1" s="20"/>
      <c r="P1" s="20"/>
      <c r="Q1" s="20"/>
      <c r="R1" s="20"/>
      <c r="S1" s="20"/>
      <c r="T1" s="20"/>
      <c r="U1" s="20"/>
      <c r="V1" s="20"/>
      <c r="W1" s="20"/>
      <c r="X1" s="20"/>
      <c r="Y1" s="20"/>
      <c r="Z1" s="20"/>
      <c r="AA1" s="20"/>
      <c r="AB1" s="20"/>
      <c r="AC1" s="20"/>
      <c r="AD1" s="20"/>
      <c r="AE1" s="20"/>
    </row>
    <row r="2" spans="1:31"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row>
    <row r="3" spans="1:31" x14ac:dyDescent="0.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row>
    <row r="4" spans="1:31"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row>
    <row r="5" spans="1:3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row>
    <row r="6" spans="1:31" x14ac:dyDescent="0.3">
      <c r="A6" s="20"/>
      <c r="B6" s="20"/>
      <c r="C6" s="20"/>
      <c r="D6" s="20"/>
      <c r="E6" s="25"/>
      <c r="F6" s="25"/>
      <c r="G6" s="20"/>
      <c r="H6" s="20"/>
      <c r="I6" s="20"/>
      <c r="J6" s="20"/>
      <c r="K6" s="20"/>
      <c r="L6" s="20"/>
      <c r="M6" s="20"/>
      <c r="N6" s="20"/>
      <c r="O6" s="20"/>
      <c r="P6" s="20"/>
      <c r="Q6" s="20"/>
      <c r="R6" s="20"/>
      <c r="S6" s="20"/>
      <c r="T6" s="20"/>
      <c r="U6" s="20"/>
      <c r="V6" s="20"/>
      <c r="W6" s="20"/>
      <c r="X6" s="20"/>
      <c r="Y6" s="20"/>
      <c r="Z6" s="20"/>
      <c r="AA6" s="20"/>
      <c r="AB6" s="20"/>
      <c r="AC6" s="20"/>
      <c r="AD6" s="20"/>
      <c r="AE6" s="20"/>
    </row>
    <row r="7" spans="1:31"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row>
    <row r="8" spans="1:31"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row>
    <row r="9" spans="1:31"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row>
    <row r="10" spans="1:31"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row>
    <row r="11" spans="1:31"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row>
    <row r="12" spans="1:31"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row>
    <row r="13" spans="1:31"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row>
    <row r="14" spans="1:31"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row>
    <row r="15" spans="1:31"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row>
    <row r="16" spans="1:31"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row>
    <row r="17" spans="1:31"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row>
    <row r="18" spans="1:31"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row>
    <row r="19" spans="1:31" x14ac:dyDescent="0.3">
      <c r="A19" s="20"/>
      <c r="B19" s="20"/>
      <c r="C19" s="20"/>
      <c r="D19" s="20"/>
      <c r="E19" s="20"/>
      <c r="F19" s="20"/>
      <c r="G19" s="20"/>
      <c r="H19" s="20"/>
      <c r="I19" s="20"/>
      <c r="J19" s="20"/>
      <c r="K19" s="20"/>
      <c r="L19" s="20"/>
      <c r="M19" s="20"/>
      <c r="N19" s="20"/>
      <c r="O19" s="20"/>
      <c r="P19" s="20"/>
      <c r="Q19" s="20"/>
      <c r="R19" s="20"/>
      <c r="S19" s="30"/>
      <c r="T19" s="39" t="str" cm="1">
        <f t="array" ref="T19:X19">pivots!B65:F65</f>
        <v>R01</v>
      </c>
      <c r="U19" s="39" t="str">
        <v>R02</v>
      </c>
      <c r="V19" s="39" t="str">
        <v>R03</v>
      </c>
      <c r="W19" s="39" t="str">
        <v>R04</v>
      </c>
      <c r="X19" s="39" t="str">
        <v>R05</v>
      </c>
      <c r="Y19" s="41" t="s">
        <v>1077</v>
      </c>
      <c r="Z19" s="20"/>
      <c r="AA19" s="20"/>
      <c r="AB19" s="20"/>
      <c r="AC19" s="20"/>
      <c r="AD19" s="20"/>
      <c r="AE19" s="20"/>
    </row>
    <row r="20" spans="1:31" x14ac:dyDescent="0.3">
      <c r="A20" s="20"/>
      <c r="B20" s="20"/>
      <c r="C20" s="20"/>
      <c r="D20" s="20"/>
      <c r="E20" s="20"/>
      <c r="F20" s="20"/>
      <c r="G20" s="20"/>
      <c r="H20" s="20"/>
      <c r="I20" s="20"/>
      <c r="J20" s="20"/>
      <c r="K20" s="20"/>
      <c r="L20" s="20"/>
      <c r="M20" s="20"/>
      <c r="N20" s="20"/>
      <c r="O20" s="20"/>
      <c r="P20" s="20"/>
      <c r="Q20" s="20"/>
      <c r="R20" s="20"/>
      <c r="S20" s="40" t="str" cm="1">
        <f t="array" ref="S20:Y37">IF(pivots!A66:G83="","",pivots!A66:G83)</f>
        <v>Cincinnati</v>
      </c>
      <c r="T20" s="31" t="str">
        <v/>
      </c>
      <c r="U20" s="31" t="str">
        <v/>
      </c>
      <c r="V20" s="31" t="str">
        <v/>
      </c>
      <c r="W20" s="31" t="str">
        <v/>
      </c>
      <c r="X20" s="31" t="str">
        <v/>
      </c>
      <c r="Y20" s="32" t="str">
        <v/>
      </c>
      <c r="Z20" s="20"/>
      <c r="AA20" s="20"/>
      <c r="AB20" s="20"/>
      <c r="AC20" s="20"/>
      <c r="AD20" s="20"/>
      <c r="AE20" s="20"/>
    </row>
    <row r="21" spans="1:31" x14ac:dyDescent="0.3">
      <c r="A21" s="20"/>
      <c r="B21" s="20"/>
      <c r="C21" s="20"/>
      <c r="D21" s="20"/>
      <c r="E21" s="20"/>
      <c r="F21" s="20"/>
      <c r="G21" s="20"/>
      <c r="H21" s="20"/>
      <c r="I21" s="20"/>
      <c r="J21" s="20"/>
      <c r="K21" s="20"/>
      <c r="L21" s="20"/>
      <c r="M21" s="20"/>
      <c r="N21" s="20"/>
      <c r="O21" s="20"/>
      <c r="P21" s="20"/>
      <c r="Q21" s="20"/>
      <c r="R21" s="20"/>
      <c r="S21" s="33" t="str">
        <v>C0003</v>
      </c>
      <c r="T21" s="34">
        <v>891</v>
      </c>
      <c r="U21" s="34">
        <v>1332</v>
      </c>
      <c r="V21" s="34">
        <v>1282</v>
      </c>
      <c r="W21" s="34">
        <v>739</v>
      </c>
      <c r="X21" s="34">
        <v>560</v>
      </c>
      <c r="Y21" s="35">
        <v>4804</v>
      </c>
      <c r="Z21" s="20"/>
      <c r="AA21" s="20"/>
      <c r="AB21" s="20"/>
      <c r="AC21" s="20"/>
      <c r="AD21" s="20"/>
      <c r="AE21" s="20"/>
    </row>
    <row r="22" spans="1:31" x14ac:dyDescent="0.3">
      <c r="A22" s="20"/>
      <c r="B22" s="20"/>
      <c r="C22" s="20"/>
      <c r="D22" s="20"/>
      <c r="E22" s="20"/>
      <c r="F22" s="20"/>
      <c r="G22" s="20"/>
      <c r="H22" s="20"/>
      <c r="I22" s="20"/>
      <c r="J22" s="20"/>
      <c r="K22" s="20"/>
      <c r="L22" s="20"/>
      <c r="M22" s="20"/>
      <c r="N22" s="20"/>
      <c r="O22" s="20"/>
      <c r="P22" s="20"/>
      <c r="Q22" s="20"/>
      <c r="R22" s="20"/>
      <c r="S22" s="33" t="str">
        <v>C0004</v>
      </c>
      <c r="T22" s="34">
        <v>1991</v>
      </c>
      <c r="U22" s="34">
        <v>1886</v>
      </c>
      <c r="V22" s="34">
        <v>1206</v>
      </c>
      <c r="W22" s="34">
        <v>884</v>
      </c>
      <c r="X22" s="34">
        <v>1722</v>
      </c>
      <c r="Y22" s="35">
        <v>7689</v>
      </c>
      <c r="Z22" s="20"/>
      <c r="AA22" s="20"/>
      <c r="AB22" s="20"/>
      <c r="AC22" s="20"/>
      <c r="AD22" s="20"/>
      <c r="AE22" s="20"/>
    </row>
    <row r="23" spans="1:31" x14ac:dyDescent="0.3">
      <c r="A23" s="20"/>
      <c r="B23" s="20"/>
      <c r="C23" s="20"/>
      <c r="D23" s="20"/>
      <c r="E23" s="20"/>
      <c r="F23" s="20"/>
      <c r="G23" s="20"/>
      <c r="H23" s="20"/>
      <c r="I23" s="20"/>
      <c r="J23" s="20"/>
      <c r="K23" s="20"/>
      <c r="L23" s="20"/>
      <c r="M23" s="20"/>
      <c r="N23" s="20"/>
      <c r="O23" s="20"/>
      <c r="P23" s="20"/>
      <c r="Q23" s="20"/>
      <c r="R23" s="20"/>
      <c r="S23" s="33" t="str">
        <v>C0011</v>
      </c>
      <c r="T23" s="34">
        <v>1163</v>
      </c>
      <c r="U23" s="34">
        <v>1180</v>
      </c>
      <c r="V23" s="34">
        <v>1616</v>
      </c>
      <c r="W23" s="34">
        <v>1043</v>
      </c>
      <c r="X23" s="34">
        <v>1747</v>
      </c>
      <c r="Y23" s="35">
        <v>6749</v>
      </c>
      <c r="Z23" s="20"/>
      <c r="AA23" s="20"/>
      <c r="AB23" s="20"/>
      <c r="AC23" s="20"/>
      <c r="AD23" s="20"/>
      <c r="AE23" s="20"/>
    </row>
    <row r="24" spans="1:31" x14ac:dyDescent="0.3">
      <c r="A24" s="20"/>
      <c r="B24" s="20"/>
      <c r="C24" s="20"/>
      <c r="D24" s="20"/>
      <c r="E24" s="20"/>
      <c r="F24" s="20"/>
      <c r="G24" s="20"/>
      <c r="H24" s="20"/>
      <c r="I24" s="20"/>
      <c r="J24" s="20"/>
      <c r="K24" s="20"/>
      <c r="L24" s="20"/>
      <c r="M24" s="20"/>
      <c r="N24" s="20"/>
      <c r="O24" s="20"/>
      <c r="P24" s="20"/>
      <c r="Q24" s="20"/>
      <c r="R24" s="20"/>
      <c r="S24" s="33" t="str">
        <v>C0012</v>
      </c>
      <c r="T24" s="34">
        <v>1438</v>
      </c>
      <c r="U24" s="34">
        <v>1616</v>
      </c>
      <c r="V24" s="34">
        <v>866</v>
      </c>
      <c r="W24" s="34">
        <v>829</v>
      </c>
      <c r="X24" s="34">
        <v>2070</v>
      </c>
      <c r="Y24" s="35">
        <v>6819</v>
      </c>
      <c r="Z24" s="20"/>
      <c r="AA24" s="20"/>
      <c r="AB24" s="20"/>
      <c r="AC24" s="20"/>
      <c r="AD24" s="20"/>
      <c r="AE24" s="20"/>
    </row>
    <row r="25" spans="1:31" x14ac:dyDescent="0.3">
      <c r="A25" s="20"/>
      <c r="B25" s="20"/>
      <c r="C25" s="20"/>
      <c r="D25" s="20"/>
      <c r="E25" s="20"/>
      <c r="F25" s="20"/>
      <c r="G25" s="20"/>
      <c r="H25" s="20"/>
      <c r="I25" s="20"/>
      <c r="J25" s="20"/>
      <c r="K25" s="20"/>
      <c r="L25" s="20"/>
      <c r="M25" s="20"/>
      <c r="N25" s="20"/>
      <c r="O25" s="20"/>
      <c r="P25" s="20"/>
      <c r="Q25" s="20"/>
      <c r="R25" s="20"/>
      <c r="S25" s="40" t="str">
        <v>Cleveland</v>
      </c>
      <c r="T25" s="34" t="str">
        <v/>
      </c>
      <c r="U25" s="34" t="str">
        <v/>
      </c>
      <c r="V25" s="34" t="str">
        <v/>
      </c>
      <c r="W25" s="34" t="str">
        <v/>
      </c>
      <c r="X25" s="34" t="str">
        <v/>
      </c>
      <c r="Y25" s="35" t="str">
        <v/>
      </c>
      <c r="Z25" s="20"/>
      <c r="AA25" s="20"/>
      <c r="AB25" s="20"/>
      <c r="AC25" s="20"/>
      <c r="AD25" s="20"/>
      <c r="AE25" s="20"/>
    </row>
    <row r="26" spans="1:31" x14ac:dyDescent="0.3">
      <c r="A26" s="20"/>
      <c r="B26" s="20"/>
      <c r="C26" s="20"/>
      <c r="D26" s="20"/>
      <c r="E26" s="20"/>
      <c r="F26" s="20"/>
      <c r="G26" s="20"/>
      <c r="H26" s="20"/>
      <c r="I26" s="20"/>
      <c r="J26" s="20"/>
      <c r="K26" s="20"/>
      <c r="L26" s="20"/>
      <c r="M26" s="20"/>
      <c r="N26" s="20"/>
      <c r="O26" s="20"/>
      <c r="P26" s="20"/>
      <c r="Q26" s="20"/>
      <c r="R26" s="20"/>
      <c r="S26" s="33" t="str">
        <v>C0002</v>
      </c>
      <c r="T26" s="34">
        <v>1233</v>
      </c>
      <c r="U26" s="34">
        <v>223</v>
      </c>
      <c r="V26" s="34">
        <v>1680</v>
      </c>
      <c r="W26" s="34">
        <v>990</v>
      </c>
      <c r="X26" s="34">
        <v>1508</v>
      </c>
      <c r="Y26" s="35">
        <v>5634</v>
      </c>
      <c r="Z26" s="20"/>
      <c r="AA26" s="20"/>
      <c r="AB26" s="20"/>
      <c r="AC26" s="20"/>
      <c r="AD26" s="20"/>
      <c r="AE26" s="20"/>
    </row>
    <row r="27" spans="1:31" x14ac:dyDescent="0.3">
      <c r="A27" s="20"/>
      <c r="B27" s="20"/>
      <c r="C27" s="20"/>
      <c r="D27" s="20"/>
      <c r="E27" s="20"/>
      <c r="F27" s="20"/>
      <c r="G27" s="20"/>
      <c r="H27" s="20"/>
      <c r="I27" s="20"/>
      <c r="J27" s="20"/>
      <c r="K27" s="20"/>
      <c r="L27" s="20"/>
      <c r="M27" s="20"/>
      <c r="N27" s="20"/>
      <c r="O27" s="20"/>
      <c r="P27" s="20"/>
      <c r="Q27" s="20"/>
      <c r="R27" s="20"/>
      <c r="S27" s="33" t="str">
        <v>C0007</v>
      </c>
      <c r="T27" s="34">
        <v>1598</v>
      </c>
      <c r="U27" s="34">
        <v>1907</v>
      </c>
      <c r="V27" s="34">
        <v>869</v>
      </c>
      <c r="W27" s="34">
        <v>1426</v>
      </c>
      <c r="X27" s="34">
        <v>1416</v>
      </c>
      <c r="Y27" s="35">
        <v>7216</v>
      </c>
      <c r="Z27" s="20"/>
      <c r="AA27" s="20"/>
      <c r="AB27" s="20"/>
      <c r="AC27" s="20"/>
      <c r="AD27" s="20"/>
      <c r="AE27" s="20"/>
    </row>
    <row r="28" spans="1:31" x14ac:dyDescent="0.3">
      <c r="A28" s="20"/>
      <c r="B28" s="20"/>
      <c r="C28" s="20"/>
      <c r="D28" s="20"/>
      <c r="E28" s="20"/>
      <c r="F28" s="20"/>
      <c r="G28" s="20"/>
      <c r="H28" s="20"/>
      <c r="I28" s="20"/>
      <c r="J28" s="20"/>
      <c r="K28" s="20"/>
      <c r="L28" s="20"/>
      <c r="M28" s="20"/>
      <c r="N28" s="20"/>
      <c r="O28" s="20"/>
      <c r="P28" s="20"/>
      <c r="Q28" s="20"/>
      <c r="R28" s="20"/>
      <c r="S28" s="33" t="str">
        <v>C0008</v>
      </c>
      <c r="T28" s="34">
        <v>900</v>
      </c>
      <c r="U28" s="34">
        <v>1016</v>
      </c>
      <c r="V28" s="34">
        <v>960</v>
      </c>
      <c r="W28" s="34">
        <v>940</v>
      </c>
      <c r="X28" s="34">
        <v>1193</v>
      </c>
      <c r="Y28" s="35">
        <v>5009</v>
      </c>
      <c r="Z28" s="20"/>
      <c r="AA28" s="20"/>
      <c r="AB28" s="20"/>
      <c r="AC28" s="20"/>
      <c r="AD28" s="20"/>
      <c r="AE28" s="20"/>
    </row>
    <row r="29" spans="1:31" x14ac:dyDescent="0.3">
      <c r="A29" s="20"/>
      <c r="B29" s="20"/>
      <c r="C29" s="20"/>
      <c r="D29" s="20"/>
      <c r="E29" s="20"/>
      <c r="F29" s="20"/>
      <c r="G29" s="20"/>
      <c r="H29" s="20"/>
      <c r="I29" s="20"/>
      <c r="J29" s="20"/>
      <c r="K29" s="20"/>
      <c r="L29" s="20"/>
      <c r="M29" s="20"/>
      <c r="N29" s="20"/>
      <c r="O29" s="20"/>
      <c r="P29" s="20"/>
      <c r="Q29" s="20"/>
      <c r="R29" s="20"/>
      <c r="S29" s="33" t="str">
        <v>C0010</v>
      </c>
      <c r="T29" s="34">
        <v>900</v>
      </c>
      <c r="U29" s="34">
        <v>1470</v>
      </c>
      <c r="V29" s="34">
        <v>1617</v>
      </c>
      <c r="W29" s="34">
        <v>1314</v>
      </c>
      <c r="X29" s="34">
        <v>941</v>
      </c>
      <c r="Y29" s="35">
        <v>6242</v>
      </c>
      <c r="Z29" s="20"/>
      <c r="AA29" s="20"/>
      <c r="AB29" s="20"/>
      <c r="AC29" s="20"/>
      <c r="AD29" s="20"/>
      <c r="AE29" s="20"/>
    </row>
    <row r="30" spans="1:31" x14ac:dyDescent="0.3">
      <c r="A30" s="20"/>
      <c r="B30" s="20"/>
      <c r="C30" s="20"/>
      <c r="D30" s="20"/>
      <c r="E30" s="20"/>
      <c r="F30" s="20"/>
      <c r="G30" s="20"/>
      <c r="H30" s="20"/>
      <c r="I30" s="20"/>
      <c r="J30" s="20"/>
      <c r="K30" s="20"/>
      <c r="L30" s="20"/>
      <c r="M30" s="20"/>
      <c r="N30" s="20"/>
      <c r="O30" s="20"/>
      <c r="P30" s="43" t="e" vm="1">
        <f>pivots!H56</f>
        <v>#VALUE!</v>
      </c>
      <c r="Q30" s="43"/>
      <c r="R30" s="20"/>
      <c r="S30" s="33" t="str">
        <v>C0013</v>
      </c>
      <c r="T30" s="34">
        <v>1255</v>
      </c>
      <c r="U30" s="34">
        <v>516</v>
      </c>
      <c r="V30" s="34">
        <v>1874</v>
      </c>
      <c r="W30" s="34">
        <v>1863</v>
      </c>
      <c r="X30" s="34">
        <v>1722</v>
      </c>
      <c r="Y30" s="35">
        <v>7230</v>
      </c>
      <c r="Z30" s="20"/>
      <c r="AA30" s="20"/>
      <c r="AB30" s="20"/>
      <c r="AC30" s="20"/>
      <c r="AD30" s="20"/>
      <c r="AE30" s="20"/>
    </row>
    <row r="31" spans="1:31" x14ac:dyDescent="0.3">
      <c r="A31" s="20"/>
      <c r="B31" s="20"/>
      <c r="C31" s="20"/>
      <c r="D31" s="20"/>
      <c r="E31" s="20"/>
      <c r="F31" s="20"/>
      <c r="G31" s="20"/>
      <c r="H31" s="20"/>
      <c r="I31" s="20"/>
      <c r="J31" s="20"/>
      <c r="K31" s="20"/>
      <c r="L31" s="20"/>
      <c r="M31" s="20"/>
      <c r="N31" s="20"/>
      <c r="O31" s="20"/>
      <c r="P31" s="43"/>
      <c r="Q31" s="43"/>
      <c r="R31" s="20"/>
      <c r="S31" s="33" t="str">
        <v>C0015</v>
      </c>
      <c r="T31" s="34">
        <v>1138</v>
      </c>
      <c r="U31" s="34">
        <v>1898</v>
      </c>
      <c r="V31" s="34">
        <v>1482</v>
      </c>
      <c r="W31" s="34">
        <v>846</v>
      </c>
      <c r="X31" s="34">
        <v>1154</v>
      </c>
      <c r="Y31" s="35">
        <v>6518</v>
      </c>
      <c r="Z31" s="20"/>
      <c r="AA31" s="20"/>
      <c r="AB31" s="20"/>
      <c r="AC31" s="20"/>
      <c r="AD31" s="20"/>
      <c r="AE31" s="20"/>
    </row>
    <row r="32" spans="1:31" x14ac:dyDescent="0.3">
      <c r="A32" s="20"/>
      <c r="B32" s="20"/>
      <c r="C32" s="20"/>
      <c r="D32" s="20"/>
      <c r="E32" s="20"/>
      <c r="F32" s="20"/>
      <c r="G32" s="20"/>
      <c r="H32" s="20"/>
      <c r="I32" s="20"/>
      <c r="J32" s="20"/>
      <c r="K32" s="20"/>
      <c r="L32" s="20"/>
      <c r="M32" s="20"/>
      <c r="N32" s="20"/>
      <c r="O32" s="20"/>
      <c r="P32" s="43"/>
      <c r="Q32" s="43"/>
      <c r="R32" s="20"/>
      <c r="S32" s="40" t="str">
        <v>Columbus</v>
      </c>
      <c r="T32" s="34" t="str">
        <v/>
      </c>
      <c r="U32" s="34" t="str">
        <v/>
      </c>
      <c r="V32" s="34" t="str">
        <v/>
      </c>
      <c r="W32" s="34" t="str">
        <v/>
      </c>
      <c r="X32" s="34" t="str">
        <v/>
      </c>
      <c r="Y32" s="35" t="str">
        <v/>
      </c>
      <c r="Z32" s="20"/>
      <c r="AA32" s="20"/>
      <c r="AB32" s="20"/>
      <c r="AC32" s="20"/>
      <c r="AD32" s="20"/>
      <c r="AE32" s="20"/>
    </row>
    <row r="33" spans="1:31" x14ac:dyDescent="0.3">
      <c r="A33" s="20"/>
      <c r="B33" s="20"/>
      <c r="C33" s="20"/>
      <c r="D33" s="20"/>
      <c r="E33" s="20"/>
      <c r="F33" s="20"/>
      <c r="G33" s="20"/>
      <c r="H33" s="20"/>
      <c r="I33" s="20"/>
      <c r="J33" s="20"/>
      <c r="K33" s="20"/>
      <c r="L33" s="20"/>
      <c r="M33" s="20"/>
      <c r="N33" s="20"/>
      <c r="O33" s="20"/>
      <c r="P33" s="43"/>
      <c r="Q33" s="43"/>
      <c r="R33" s="20"/>
      <c r="S33" s="33" t="str">
        <v>C0001</v>
      </c>
      <c r="T33" s="34">
        <v>1655</v>
      </c>
      <c r="U33" s="34">
        <v>805</v>
      </c>
      <c r="V33" s="34">
        <v>2263</v>
      </c>
      <c r="W33" s="34">
        <v>987</v>
      </c>
      <c r="X33" s="34">
        <v>1075</v>
      </c>
      <c r="Y33" s="35">
        <v>6785</v>
      </c>
      <c r="Z33" s="20"/>
      <c r="AA33" s="20"/>
      <c r="AB33" s="20"/>
      <c r="AC33" s="20"/>
      <c r="AD33" s="20"/>
      <c r="AE33" s="20"/>
    </row>
    <row r="34" spans="1:31" x14ac:dyDescent="0.3">
      <c r="A34" s="20"/>
      <c r="B34" s="20"/>
      <c r="C34" s="20"/>
      <c r="D34" s="20"/>
      <c r="E34" s="20"/>
      <c r="F34" s="20"/>
      <c r="G34" s="20"/>
      <c r="H34" s="20"/>
      <c r="I34" s="20"/>
      <c r="J34" s="20"/>
      <c r="K34" s="20"/>
      <c r="L34" s="20"/>
      <c r="M34" s="20"/>
      <c r="N34" s="20"/>
      <c r="O34" s="20"/>
      <c r="P34" s="44" t="str">
        <f>pivots!H51</f>
        <v>% of calls:21%</v>
      </c>
      <c r="Q34" s="44"/>
      <c r="R34" s="20"/>
      <c r="S34" s="33" t="str">
        <v>C0005</v>
      </c>
      <c r="T34" s="34">
        <v>1104</v>
      </c>
      <c r="U34" s="34">
        <v>2280</v>
      </c>
      <c r="V34" s="34">
        <v>1445</v>
      </c>
      <c r="W34" s="34">
        <v>1722</v>
      </c>
      <c r="X34" s="34">
        <v>1196</v>
      </c>
      <c r="Y34" s="35">
        <v>7747</v>
      </c>
      <c r="Z34" s="20"/>
      <c r="AA34" s="20"/>
      <c r="AB34" s="20"/>
      <c r="AC34" s="20"/>
      <c r="AD34" s="20"/>
      <c r="AE34" s="20"/>
    </row>
    <row r="35" spans="1:31" x14ac:dyDescent="0.3">
      <c r="A35" s="20"/>
      <c r="B35" s="20"/>
      <c r="C35" s="20"/>
      <c r="D35" s="20"/>
      <c r="E35" s="20"/>
      <c r="F35" s="20"/>
      <c r="G35" s="20"/>
      <c r="H35" s="20"/>
      <c r="I35" s="20"/>
      <c r="J35" s="20"/>
      <c r="K35" s="20"/>
      <c r="L35" s="20"/>
      <c r="M35" s="20"/>
      <c r="N35" s="20"/>
      <c r="O35" s="20"/>
      <c r="P35" s="44" t="str">
        <f>pivots!H52</f>
        <v>Call Rank:2</v>
      </c>
      <c r="Q35" s="44"/>
      <c r="R35" s="20"/>
      <c r="S35" s="33" t="str">
        <v>C0006</v>
      </c>
      <c r="T35" s="34">
        <v>372</v>
      </c>
      <c r="U35" s="34">
        <v>1818</v>
      </c>
      <c r="V35" s="34">
        <v>1346</v>
      </c>
      <c r="W35" s="34">
        <v>1156</v>
      </c>
      <c r="X35" s="34">
        <v>1484</v>
      </c>
      <c r="Y35" s="35">
        <v>6176</v>
      </c>
      <c r="Z35" s="20"/>
      <c r="AA35" s="20"/>
      <c r="AB35" s="20"/>
      <c r="AC35" s="20"/>
      <c r="AD35" s="20"/>
      <c r="AE35" s="20"/>
    </row>
    <row r="36" spans="1:31" x14ac:dyDescent="0.3">
      <c r="A36" s="20"/>
      <c r="B36" s="20"/>
      <c r="C36" s="20"/>
      <c r="D36" s="20"/>
      <c r="E36" s="20"/>
      <c r="F36" s="20"/>
      <c r="G36" s="20"/>
      <c r="H36" s="20"/>
      <c r="I36" s="20"/>
      <c r="J36" s="20"/>
      <c r="K36" s="20"/>
      <c r="L36" s="20"/>
      <c r="M36" s="20"/>
      <c r="N36" s="20"/>
      <c r="O36" s="20"/>
      <c r="P36" s="44" t="str">
        <f>pivots!H53</f>
        <v>Amount Rank:1</v>
      </c>
      <c r="Q36" s="44"/>
      <c r="R36" s="20"/>
      <c r="S36" s="33" t="str">
        <v>C0009</v>
      </c>
      <c r="T36" s="34">
        <v>1415</v>
      </c>
      <c r="U36" s="34">
        <v>1271</v>
      </c>
      <c r="V36" s="34">
        <v>1214</v>
      </c>
      <c r="W36" s="34">
        <v>1135</v>
      </c>
      <c r="X36" s="34">
        <v>1566</v>
      </c>
      <c r="Y36" s="35">
        <v>6601</v>
      </c>
      <c r="Z36" s="20"/>
      <c r="AA36" s="20"/>
      <c r="AB36" s="20"/>
      <c r="AC36" s="20"/>
      <c r="AD36" s="20"/>
      <c r="AE36" s="20"/>
    </row>
    <row r="37" spans="1:31" x14ac:dyDescent="0.3">
      <c r="A37" s="20"/>
      <c r="B37" s="20"/>
      <c r="C37" s="20"/>
      <c r="D37" s="20"/>
      <c r="E37" s="20"/>
      <c r="F37" s="20"/>
      <c r="G37" s="20"/>
      <c r="H37" s="20"/>
      <c r="I37" s="20"/>
      <c r="J37" s="20"/>
      <c r="K37" s="20"/>
      <c r="L37" s="20"/>
      <c r="M37" s="20"/>
      <c r="N37" s="20"/>
      <c r="O37" s="20"/>
      <c r="P37" s="20"/>
      <c r="Q37" s="20"/>
      <c r="R37" s="20"/>
      <c r="S37" s="36" t="str">
        <v>C0014</v>
      </c>
      <c r="T37" s="37">
        <v>1362</v>
      </c>
      <c r="U37" s="37">
        <v>1363</v>
      </c>
      <c r="V37" s="37">
        <v>1152</v>
      </c>
      <c r="W37" s="37">
        <v>777</v>
      </c>
      <c r="X37" s="37">
        <v>750</v>
      </c>
      <c r="Y37" s="38">
        <v>5404</v>
      </c>
      <c r="Z37" s="20"/>
      <c r="AA37" s="20"/>
      <c r="AB37" s="20"/>
      <c r="AC37" s="20"/>
      <c r="AD37" s="20"/>
      <c r="AE37" s="20"/>
    </row>
    <row r="38" spans="1:31"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row>
    <row r="39" spans="1:31"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row>
    <row r="40" spans="1:31"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row>
    <row r="41" spans="1:31"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row>
    <row r="42" spans="1:31"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row>
    <row r="43" spans="1:31"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row>
    <row r="44" spans="1:31"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row>
    <row r="45" spans="1:31"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row>
    <row r="46" spans="1:31"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row>
    <row r="47" spans="1:31"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row>
    <row r="48" spans="1:31"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row>
    <row r="49" spans="1:31"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row>
    <row r="50" spans="1:31"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row>
    <row r="51" spans="1:31" x14ac:dyDescent="0.3">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row>
    <row r="52" spans="1:31" x14ac:dyDescent="0.3">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row>
    <row r="53" spans="1:31" x14ac:dyDescent="0.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row>
    <row r="54" spans="1:31" x14ac:dyDescent="0.3">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row>
    <row r="55" spans="1:31" x14ac:dyDescent="0.3">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row>
    <row r="56" spans="1:31" x14ac:dyDescent="0.3">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row>
    <row r="57" spans="1:31" x14ac:dyDescent="0.3">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row>
    <row r="58" spans="1:31" x14ac:dyDescent="0.3">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row>
    <row r="59" spans="1:31" x14ac:dyDescent="0.3">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row>
    <row r="60" spans="1:31" x14ac:dyDescent="0.3">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row>
    <row r="61" spans="1:31" x14ac:dyDescent="0.3">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row>
    <row r="62" spans="1:31" x14ac:dyDescent="0.3">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row>
    <row r="63" spans="1:31" x14ac:dyDescent="0.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row>
    <row r="64" spans="1:31" x14ac:dyDescent="0.3">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row>
    <row r="65" spans="1:31" x14ac:dyDescent="0.3">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row>
    <row r="66" spans="1:31" x14ac:dyDescent="0.3">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row>
    <row r="67" spans="1:31" x14ac:dyDescent="0.3">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row>
    <row r="68" spans="1:31" x14ac:dyDescent="0.3">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row>
    <row r="69" spans="1:31" x14ac:dyDescent="0.3">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row>
    <row r="70" spans="1:31" x14ac:dyDescent="0.3">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row>
    <row r="71" spans="1:31" x14ac:dyDescent="0.3">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row>
    <row r="72" spans="1:31" x14ac:dyDescent="0.3">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row>
    <row r="73" spans="1:31" x14ac:dyDescent="0.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row>
    <row r="74" spans="1:31" x14ac:dyDescent="0.3">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row>
    <row r="75" spans="1:31" x14ac:dyDescent="0.3">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row>
    <row r="76" spans="1:31" x14ac:dyDescent="0.3">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row>
    <row r="77" spans="1:31" x14ac:dyDescent="0.3">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row>
    <row r="78" spans="1:31" x14ac:dyDescent="0.3">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row>
    <row r="79" spans="1:31" x14ac:dyDescent="0.3">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row>
    <row r="80" spans="1:31" x14ac:dyDescent="0.3">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row>
    <row r="81" spans="1:31" x14ac:dyDescent="0.3">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row>
    <row r="82" spans="1:31" x14ac:dyDescent="0.3">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row>
    <row r="83" spans="1:31" x14ac:dyDescent="0.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row>
    <row r="84" spans="1:31" x14ac:dyDescent="0.3">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row>
    <row r="85" spans="1:31" x14ac:dyDescent="0.3">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row>
    <row r="86" spans="1:31" x14ac:dyDescent="0.3">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row>
    <row r="87" spans="1:31" x14ac:dyDescent="0.3">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row>
    <row r="88" spans="1:31" x14ac:dyDescent="0.3">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row>
    <row r="89" spans="1:31" x14ac:dyDescent="0.3">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row>
    <row r="90" spans="1:31" x14ac:dyDescent="0.3">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row>
    <row r="91" spans="1:31" x14ac:dyDescent="0.3">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row>
    <row r="92" spans="1:31" x14ac:dyDescent="0.3">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row>
    <row r="93" spans="1:31" x14ac:dyDescent="0.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row>
    <row r="94" spans="1:31" x14ac:dyDescent="0.3">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row>
    <row r="95" spans="1:31" x14ac:dyDescent="0.3">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row>
    <row r="96" spans="1:31" x14ac:dyDescent="0.3">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row>
    <row r="97" spans="1:31" x14ac:dyDescent="0.3">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row>
    <row r="98" spans="1:31" x14ac:dyDescent="0.3">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row>
    <row r="99" spans="1:31" x14ac:dyDescent="0.3">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row>
    <row r="100" spans="1:31" x14ac:dyDescent="0.3">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row>
    <row r="101" spans="1:31" x14ac:dyDescent="0.3">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row>
    <row r="102" spans="1:31" x14ac:dyDescent="0.3">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row>
    <row r="103" spans="1:31" x14ac:dyDescent="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row>
    <row r="104" spans="1:31" x14ac:dyDescent="0.3">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row>
    <row r="105" spans="1:31" x14ac:dyDescent="0.3">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row>
    <row r="106" spans="1:31" x14ac:dyDescent="0.3">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row>
    <row r="107" spans="1:31" x14ac:dyDescent="0.3">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row>
    <row r="108" spans="1:31" x14ac:dyDescent="0.3">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row>
    <row r="109" spans="1:31" x14ac:dyDescent="0.3">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row>
    <row r="110" spans="1:31" x14ac:dyDescent="0.3">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row>
    <row r="111" spans="1:31" x14ac:dyDescent="0.3">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row>
    <row r="112" spans="1:31" x14ac:dyDescent="0.3">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row>
    <row r="113" spans="1:31" x14ac:dyDescent="0.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row>
    <row r="114" spans="1:31" x14ac:dyDescent="0.3">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row>
    <row r="115" spans="1:31" x14ac:dyDescent="0.3">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row>
    <row r="116" spans="1:31" x14ac:dyDescent="0.3">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row>
    <row r="117" spans="1:31" x14ac:dyDescent="0.3">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row>
    <row r="118" spans="1:31" x14ac:dyDescent="0.3">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row>
    <row r="119" spans="1:31" x14ac:dyDescent="0.3">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row>
    <row r="120" spans="1:31" x14ac:dyDescent="0.3">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row>
    <row r="121" spans="1:31" x14ac:dyDescent="0.3">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row>
    <row r="122" spans="1:31" x14ac:dyDescent="0.3">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row>
    <row r="123" spans="1:31" x14ac:dyDescent="0.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row>
    <row r="124" spans="1:31" x14ac:dyDescent="0.3">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row>
    <row r="125" spans="1:31" x14ac:dyDescent="0.3">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row>
    <row r="126" spans="1:31" x14ac:dyDescent="0.3">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row>
    <row r="127" spans="1:31" x14ac:dyDescent="0.3">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row>
    <row r="128" spans="1:31" x14ac:dyDescent="0.3">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row>
    <row r="129" spans="1:31" x14ac:dyDescent="0.3">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row>
    <row r="130" spans="1:31" x14ac:dyDescent="0.3">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row>
    <row r="131" spans="1:31" x14ac:dyDescent="0.3">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row>
    <row r="132" spans="1:31" x14ac:dyDescent="0.3">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row>
    <row r="133" spans="1:31" x14ac:dyDescent="0.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row>
    <row r="134" spans="1:31" x14ac:dyDescent="0.3">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row>
    <row r="135" spans="1:31" x14ac:dyDescent="0.3">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row>
    <row r="136" spans="1:31" x14ac:dyDescent="0.3">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row>
    <row r="137" spans="1:31" x14ac:dyDescent="0.3">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row>
    <row r="138" spans="1:31" x14ac:dyDescent="0.3">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row>
    <row r="139" spans="1:31" x14ac:dyDescent="0.3">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row>
    <row r="140" spans="1:31" x14ac:dyDescent="0.3">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row>
    <row r="141" spans="1:31" x14ac:dyDescent="0.3">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row>
    <row r="142" spans="1:31" x14ac:dyDescent="0.3">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row>
    <row r="143" spans="1:31" x14ac:dyDescent="0.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row>
    <row r="144" spans="1:31" x14ac:dyDescent="0.3">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row>
    <row r="145" spans="1:31" x14ac:dyDescent="0.3">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row>
    <row r="146" spans="1:31" x14ac:dyDescent="0.3">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row>
    <row r="147" spans="1:31" x14ac:dyDescent="0.3">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row>
    <row r="148" spans="1:31" x14ac:dyDescent="0.3">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row>
    <row r="149" spans="1:31" x14ac:dyDescent="0.3">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row>
    <row r="150" spans="1:31" x14ac:dyDescent="0.3">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row>
    <row r="151" spans="1:31" x14ac:dyDescent="0.3">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row>
    <row r="152" spans="1:31" x14ac:dyDescent="0.3">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row>
    <row r="153" spans="1:31" x14ac:dyDescent="0.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row>
    <row r="154" spans="1:31" x14ac:dyDescent="0.3">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row>
    <row r="155" spans="1:31" x14ac:dyDescent="0.3">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row>
    <row r="156" spans="1:31" x14ac:dyDescent="0.3">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row>
    <row r="157" spans="1:31" x14ac:dyDescent="0.3">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row>
    <row r="158" spans="1:31" x14ac:dyDescent="0.3">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row>
    <row r="159" spans="1:31" x14ac:dyDescent="0.3">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row>
    <row r="160" spans="1:31" x14ac:dyDescent="0.3">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row>
    <row r="161" spans="1:31" x14ac:dyDescent="0.3">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row>
    <row r="162" spans="1:31" x14ac:dyDescent="0.3">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row>
    <row r="163" spans="1:31" x14ac:dyDescent="0.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row>
    <row r="164" spans="1:31" x14ac:dyDescent="0.3">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row>
    <row r="165" spans="1:31" x14ac:dyDescent="0.3">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row>
    <row r="166" spans="1:31" x14ac:dyDescent="0.3">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row>
    <row r="167" spans="1:31" x14ac:dyDescent="0.3">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row>
    <row r="168" spans="1:31" x14ac:dyDescent="0.3">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row>
    <row r="169" spans="1:31" x14ac:dyDescent="0.3">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row>
    <row r="170" spans="1:31" x14ac:dyDescent="0.3">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row>
    <row r="171" spans="1:31" x14ac:dyDescent="0.3">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row>
    <row r="172" spans="1:31" x14ac:dyDescent="0.3">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row>
    <row r="173" spans="1:31" x14ac:dyDescent="0.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row>
    <row r="174" spans="1:31" x14ac:dyDescent="0.3">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row>
    <row r="175" spans="1:31" x14ac:dyDescent="0.3">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row>
    <row r="176" spans="1:31" x14ac:dyDescent="0.3">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row>
    <row r="177" spans="1:31" x14ac:dyDescent="0.3">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row>
    <row r="178" spans="1:31" x14ac:dyDescent="0.3">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row>
    <row r="179" spans="1:31" x14ac:dyDescent="0.3">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row>
    <row r="180" spans="1:31" x14ac:dyDescent="0.3">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row>
    <row r="181" spans="1:31" x14ac:dyDescent="0.3">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row>
    <row r="182" spans="1:31" x14ac:dyDescent="0.3">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row>
    <row r="183" spans="1:31" x14ac:dyDescent="0.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row>
    <row r="184" spans="1:31" x14ac:dyDescent="0.3">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row>
    <row r="185" spans="1:31" x14ac:dyDescent="0.3">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row>
    <row r="186" spans="1:31" x14ac:dyDescent="0.3">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row>
    <row r="187" spans="1:31" x14ac:dyDescent="0.3">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row>
    <row r="188" spans="1:31" x14ac:dyDescent="0.3">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row>
    <row r="189" spans="1:31" x14ac:dyDescent="0.3">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row>
    <row r="190" spans="1:31" x14ac:dyDescent="0.3">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row>
    <row r="191" spans="1:31" x14ac:dyDescent="0.3">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row>
    <row r="192" spans="1:31" x14ac:dyDescent="0.3">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row>
    <row r="193" spans="1:31" x14ac:dyDescent="0.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row>
    <row r="194" spans="1:31" x14ac:dyDescent="0.3">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row>
    <row r="195" spans="1:31" x14ac:dyDescent="0.3">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row>
    <row r="196" spans="1:31" x14ac:dyDescent="0.3">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row>
    <row r="197" spans="1:31" x14ac:dyDescent="0.3">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row>
    <row r="198" spans="1:31" x14ac:dyDescent="0.3">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row>
    <row r="199" spans="1:31" x14ac:dyDescent="0.3">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row>
    <row r="200" spans="1:31" x14ac:dyDescent="0.3">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row>
  </sheetData>
  <mergeCells count="4">
    <mergeCell ref="P30:Q33"/>
    <mergeCell ref="P34:Q34"/>
    <mergeCell ref="P35:Q35"/>
    <mergeCell ref="P36:Q36"/>
  </mergeCells>
  <conditionalFormatting sqref="T21:X37">
    <cfRule type="dataBar" priority="3">
      <dataBar>
        <cfvo type="num" val="0"/>
        <cfvo type="formula" val="MAX($T$21:$X$37)*2"/>
        <color theme="1" tint="0.249977111117893"/>
      </dataBar>
      <extLst>
        <ext xmlns:x14="http://schemas.microsoft.com/office/spreadsheetml/2009/9/main" uri="{B025F937-C7B1-47D3-B67F-A62EFF666E3E}">
          <x14:id>{FD13EFAB-D744-4C74-9699-677F6997E079}</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4" id="{24EDFB87-7DBC-49F4-88F1-7B4FCBE96954}">
            <xm:f>T$19=pivots!$A$40</xm:f>
            <x14:dxf>
              <fill>
                <patternFill>
                  <bgColor theme="8" tint="0.39994506668294322"/>
                </patternFill>
              </fill>
              <border>
                <left style="thin">
                  <color theme="1" tint="0.24994659260841701"/>
                </left>
                <right style="thin">
                  <color theme="1" tint="0.24994659260841701"/>
                </right>
                <vertical/>
                <horizontal/>
              </border>
            </x14:dxf>
          </x14:cfRule>
          <x14:cfRule type="expression" priority="5" id="{BB58523E-FBF5-4086-91D1-F66F96294339}">
            <xm:f>T$19=pivots!$A$40</xm:f>
            <x14:dxf/>
          </x14:cfRule>
          <xm:sqref>T19:X37</xm:sqref>
        </x14:conditionalFormatting>
        <x14:conditionalFormatting xmlns:xm="http://schemas.microsoft.com/office/excel/2006/main">
          <x14:cfRule type="dataBar" id="{FD13EFAB-D744-4C74-9699-677F6997E079}">
            <x14:dataBar minLength="0" maxLength="100" gradient="0">
              <x14:cfvo type="num">
                <xm:f>0</xm:f>
              </x14:cfvo>
              <x14:cfvo type="formula">
                <xm:f>MAX($T$21:$X$37)*2</xm:f>
              </x14:cfvo>
              <x14:negativeFillColor rgb="FFFF0000"/>
              <x14:axisColor rgb="FF000000"/>
            </x14:dataBar>
          </x14:cfRule>
          <xm:sqref>T21:X37</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Data</vt:lpstr>
      <vt:lpstr>Assets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Veeresh S G</cp:lastModifiedBy>
  <cp:lastPrinted>2026-07-19T17:33:31Z</cp:lastPrinted>
  <dcterms:created xsi:type="dcterms:W3CDTF">2021-03-14T20:21:32Z</dcterms:created>
  <dcterms:modified xsi:type="dcterms:W3CDTF">2026-07-19T17:34:13Z</dcterms:modified>
</cp:coreProperties>
</file>